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27605730-9716-4091-9669-F34FCFB7A868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Sundance Spas" sheetId="2" r:id="rId1"/>
    <sheet name="Master Spas " sheetId="3" r:id="rId2"/>
    <sheet name="Platinum-Eco Spas" sheetId="5" r:id="rId3"/>
    <sheet name="Saunas" sheetId="6" r:id="rId4"/>
    <sheet name="Swim Spas" sheetId="7" r:id="rId5"/>
    <sheet name="Sheet1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6" i="6" l="1"/>
  <c r="AA47" i="6" s="1"/>
  <c r="AA49" i="6" s="1"/>
  <c r="Z49" i="6" s="1"/>
  <c r="AA39" i="6"/>
  <c r="AA40" i="6" s="1"/>
  <c r="AA42" i="6" s="1"/>
  <c r="Z42" i="6" s="1"/>
  <c r="AA32" i="6"/>
  <c r="AA33" i="6" s="1"/>
  <c r="AA35" i="6" s="1"/>
  <c r="Z35" i="6" s="1"/>
  <c r="AA25" i="6"/>
  <c r="AA26" i="6" s="1"/>
  <c r="AA28" i="6" s="1"/>
  <c r="Z28" i="6" s="1"/>
  <c r="AA18" i="6"/>
  <c r="AA19" i="6" s="1"/>
  <c r="AA21" i="6" s="1"/>
  <c r="Z21" i="6" s="1"/>
  <c r="AA11" i="6"/>
  <c r="AA12" i="6" s="1"/>
  <c r="AA14" i="6" s="1"/>
  <c r="Z14" i="6" s="1"/>
  <c r="AA4" i="6"/>
  <c r="AA5" i="6" s="1"/>
  <c r="AA7" i="6" s="1"/>
  <c r="Z7" i="6" s="1"/>
  <c r="C6" i="8"/>
  <c r="C7" i="8"/>
  <c r="C9" i="8" s="1"/>
  <c r="B9" i="8" s="1"/>
  <c r="C78" i="5"/>
  <c r="C79" i="5" s="1"/>
  <c r="C81" i="5" s="1"/>
  <c r="B81" i="5" s="1"/>
  <c r="O69" i="7"/>
  <c r="O70" i="7" s="1"/>
  <c r="O72" i="7" s="1"/>
  <c r="N72" i="7" s="1"/>
  <c r="O60" i="7"/>
  <c r="O61" i="7" s="1"/>
  <c r="O63" i="7" s="1"/>
  <c r="N63" i="7" s="1"/>
  <c r="O33" i="7"/>
  <c r="O34" i="7" s="1"/>
  <c r="O36" i="7" s="1"/>
  <c r="N36" i="7" s="1"/>
  <c r="O24" i="7"/>
  <c r="O25" i="7" s="1"/>
  <c r="O27" i="7" s="1"/>
  <c r="N27" i="7" s="1"/>
  <c r="O51" i="7"/>
  <c r="O52" i="7" s="1"/>
  <c r="O54" i="7" s="1"/>
  <c r="N54" i="7" s="1"/>
  <c r="O42" i="7"/>
  <c r="O43" i="7" s="1"/>
  <c r="O45" i="7" s="1"/>
  <c r="N45" i="7" s="1"/>
  <c r="O15" i="7"/>
  <c r="O16" i="7"/>
  <c r="O18" i="7"/>
  <c r="N18" i="7" s="1"/>
  <c r="O6" i="7"/>
  <c r="O7" i="7" s="1"/>
  <c r="O9" i="7" s="1"/>
  <c r="N9" i="7" s="1"/>
  <c r="S32" i="6"/>
  <c r="S25" i="6"/>
  <c r="S18" i="6"/>
  <c r="S11" i="6"/>
  <c r="S12" i="6" s="1"/>
  <c r="S4" i="6"/>
  <c r="W11" i="6"/>
  <c r="W4" i="6"/>
  <c r="O25" i="6"/>
  <c r="O18" i="6"/>
  <c r="O11" i="6"/>
  <c r="O4" i="6"/>
  <c r="W12" i="6"/>
  <c r="W14" i="6" s="1"/>
  <c r="V14" i="6" s="1"/>
  <c r="W5" i="6"/>
  <c r="W7" i="6" s="1"/>
  <c r="V7" i="6" s="1"/>
  <c r="S33" i="6"/>
  <c r="S35" i="6" s="1"/>
  <c r="R35" i="6" s="1"/>
  <c r="S26" i="6"/>
  <c r="S28" i="6" s="1"/>
  <c r="R28" i="6" s="1"/>
  <c r="S19" i="6"/>
  <c r="S21" i="6" s="1"/>
  <c r="R21" i="6" s="1"/>
  <c r="S14" i="6"/>
  <c r="R14" i="6" s="1"/>
  <c r="S5" i="6"/>
  <c r="S7" i="6" s="1"/>
  <c r="R7" i="6" s="1"/>
  <c r="O26" i="6"/>
  <c r="O28" i="6" s="1"/>
  <c r="N28" i="6" s="1"/>
  <c r="O19" i="6"/>
  <c r="O21" i="6" s="1"/>
  <c r="N21" i="6" s="1"/>
  <c r="O12" i="6"/>
  <c r="O14" i="6" s="1"/>
  <c r="N14" i="6" s="1"/>
  <c r="O5" i="6"/>
  <c r="O7" i="6" s="1"/>
  <c r="N7" i="6" s="1"/>
  <c r="K15" i="7"/>
  <c r="K16" i="7" s="1"/>
  <c r="K18" i="7" s="1"/>
  <c r="J18" i="7" s="1"/>
  <c r="K6" i="7"/>
  <c r="K7" i="7" s="1"/>
  <c r="K9" i="7" s="1"/>
  <c r="J9" i="7" s="1"/>
  <c r="G42" i="7"/>
  <c r="G43" i="7" s="1"/>
  <c r="G45" i="7" s="1"/>
  <c r="F45" i="7" s="1"/>
  <c r="G33" i="7"/>
  <c r="G34" i="7" s="1"/>
  <c r="G36" i="7" s="1"/>
  <c r="F36" i="7" s="1"/>
  <c r="G24" i="7"/>
  <c r="G25" i="7" s="1"/>
  <c r="G27" i="7" s="1"/>
  <c r="F27" i="7" s="1"/>
  <c r="G15" i="7"/>
  <c r="G16" i="7" s="1"/>
  <c r="G18" i="7" s="1"/>
  <c r="F18" i="7" s="1"/>
  <c r="G6" i="7"/>
  <c r="G7" i="7" s="1"/>
  <c r="G9" i="7" s="1"/>
  <c r="F9" i="7" s="1"/>
  <c r="C69" i="7"/>
  <c r="C70" i="7" s="1"/>
  <c r="C72" i="7" s="1"/>
  <c r="B72" i="7" s="1"/>
  <c r="C60" i="7"/>
  <c r="C61" i="7" s="1"/>
  <c r="C63" i="7" s="1"/>
  <c r="B63" i="7" s="1"/>
  <c r="C51" i="7"/>
  <c r="C52" i="7" s="1"/>
  <c r="C54" i="7" s="1"/>
  <c r="B54" i="7" s="1"/>
  <c r="C42" i="7"/>
  <c r="C43" i="7" s="1"/>
  <c r="C45" i="7" s="1"/>
  <c r="B45" i="7" s="1"/>
  <c r="C33" i="7"/>
  <c r="C34" i="7" s="1"/>
  <c r="C36" i="7" s="1"/>
  <c r="B36" i="7" s="1"/>
  <c r="C24" i="7"/>
  <c r="C25" i="7" s="1"/>
  <c r="C27" i="7" s="1"/>
  <c r="B27" i="7" s="1"/>
  <c r="C15" i="7"/>
  <c r="C16" i="7" s="1"/>
  <c r="C18" i="7" s="1"/>
  <c r="B18" i="7" s="1"/>
  <c r="C6" i="7"/>
  <c r="C7" i="7" s="1"/>
  <c r="C9" i="7" s="1"/>
  <c r="B9" i="7" s="1"/>
  <c r="C25" i="6"/>
  <c r="C26" i="6" s="1"/>
  <c r="C28" i="6" s="1"/>
  <c r="B28" i="6" s="1"/>
  <c r="K32" i="6"/>
  <c r="K33" i="6" s="1"/>
  <c r="K35" i="6" s="1"/>
  <c r="J35" i="6" s="1"/>
  <c r="K25" i="6"/>
  <c r="K26" i="6" s="1"/>
  <c r="K28" i="6" s="1"/>
  <c r="J28" i="6" s="1"/>
  <c r="K18" i="6"/>
  <c r="K19" i="6" s="1"/>
  <c r="K21" i="6" s="1"/>
  <c r="J21" i="6" s="1"/>
  <c r="K11" i="6"/>
  <c r="K12" i="6" s="1"/>
  <c r="K14" i="6" s="1"/>
  <c r="J14" i="6" s="1"/>
  <c r="K4" i="6"/>
  <c r="K5" i="6" s="1"/>
  <c r="K7" i="6" s="1"/>
  <c r="J7" i="6" s="1"/>
  <c r="G39" i="6"/>
  <c r="G40" i="6" s="1"/>
  <c r="G32" i="6"/>
  <c r="G33" i="6" s="1"/>
  <c r="G35" i="6" s="1"/>
  <c r="F35" i="6" s="1"/>
  <c r="G25" i="6"/>
  <c r="G26" i="6" s="1"/>
  <c r="G28" i="6" s="1"/>
  <c r="F28" i="6" s="1"/>
  <c r="G18" i="6"/>
  <c r="G19" i="6" s="1"/>
  <c r="G21" i="6" s="1"/>
  <c r="F21" i="6" s="1"/>
  <c r="G11" i="6"/>
  <c r="G12" i="6" s="1"/>
  <c r="G14" i="6" s="1"/>
  <c r="F14" i="6" s="1"/>
  <c r="G4" i="6"/>
  <c r="G5" i="6" s="1"/>
  <c r="G7" i="6" s="1"/>
  <c r="F7" i="6" s="1"/>
  <c r="C18" i="6"/>
  <c r="C19" i="6" s="1"/>
  <c r="C21" i="6" s="1"/>
  <c r="B21" i="6" s="1"/>
  <c r="C11" i="6"/>
  <c r="C12" i="6" s="1"/>
  <c r="C14" i="6" s="1"/>
  <c r="B14" i="6" s="1"/>
  <c r="C4" i="6"/>
  <c r="C5" i="6" s="1"/>
  <c r="C7" i="6" s="1"/>
  <c r="B7" i="6" s="1"/>
  <c r="C54" i="5"/>
  <c r="G54" i="5"/>
  <c r="G51" i="5"/>
  <c r="G52" i="5"/>
  <c r="F54" i="5"/>
  <c r="G42" i="5"/>
  <c r="G43" i="5"/>
  <c r="G45" i="5"/>
  <c r="F45" i="5"/>
  <c r="G33" i="5"/>
  <c r="G34" i="5"/>
  <c r="G36" i="5"/>
  <c r="F36" i="5"/>
  <c r="G24" i="5"/>
  <c r="G25" i="5"/>
  <c r="G27" i="5"/>
  <c r="F27" i="5"/>
  <c r="G15" i="5"/>
  <c r="G16" i="5"/>
  <c r="G18" i="5"/>
  <c r="F18" i="5"/>
  <c r="G6" i="5"/>
  <c r="G7" i="5"/>
  <c r="G9" i="5"/>
  <c r="F9" i="5"/>
  <c r="C69" i="5"/>
  <c r="C70" i="5"/>
  <c r="C72" i="5"/>
  <c r="B72" i="5"/>
  <c r="C60" i="5"/>
  <c r="C61" i="5"/>
  <c r="C63" i="5"/>
  <c r="B63" i="5"/>
  <c r="C51" i="5"/>
  <c r="C52" i="5"/>
  <c r="B54" i="5"/>
  <c r="C42" i="5"/>
  <c r="C43" i="5"/>
  <c r="C45" i="5"/>
  <c r="B45" i="5"/>
  <c r="C33" i="5"/>
  <c r="C34" i="5"/>
  <c r="C36" i="5"/>
  <c r="B36" i="5"/>
  <c r="C24" i="5"/>
  <c r="C25" i="5"/>
  <c r="C27" i="5"/>
  <c r="B27" i="5"/>
  <c r="C15" i="5"/>
  <c r="C16" i="5"/>
  <c r="C18" i="5"/>
  <c r="B18" i="5"/>
  <c r="C6" i="5"/>
  <c r="C7" i="5"/>
  <c r="C9" i="5"/>
  <c r="B9" i="5"/>
  <c r="B9" i="3"/>
  <c r="C15" i="3"/>
  <c r="C16" i="3"/>
  <c r="C18" i="3"/>
  <c r="B18" i="3"/>
  <c r="C24" i="3"/>
  <c r="C25" i="3"/>
  <c r="C27" i="3"/>
  <c r="B27" i="3"/>
  <c r="C33" i="3"/>
  <c r="C34" i="3"/>
  <c r="C36" i="3"/>
  <c r="B36" i="3"/>
  <c r="F9" i="3"/>
  <c r="F18" i="3"/>
  <c r="F27" i="3"/>
  <c r="F36" i="3"/>
  <c r="J18" i="3"/>
  <c r="J27" i="3"/>
  <c r="J36" i="3"/>
  <c r="N9" i="3"/>
  <c r="N18" i="3"/>
  <c r="O24" i="3"/>
  <c r="O25" i="3"/>
  <c r="O27" i="3"/>
  <c r="N27" i="3"/>
  <c r="O33" i="3"/>
  <c r="O34" i="3"/>
  <c r="O36" i="3"/>
  <c r="N36" i="3"/>
  <c r="N45" i="3"/>
  <c r="J45" i="3"/>
  <c r="F45" i="3"/>
  <c r="J54" i="3"/>
  <c r="F63" i="3"/>
  <c r="J63" i="3"/>
  <c r="O42" i="3"/>
  <c r="O43" i="3"/>
  <c r="O45" i="3"/>
  <c r="O15" i="3"/>
  <c r="O16" i="3"/>
  <c r="O18" i="3"/>
  <c r="K15" i="3"/>
  <c r="K16" i="3"/>
  <c r="K18" i="3"/>
  <c r="K24" i="3"/>
  <c r="K25" i="3"/>
  <c r="K27" i="3"/>
  <c r="K33" i="3"/>
  <c r="K34" i="3"/>
  <c r="K36" i="3"/>
  <c r="K42" i="3"/>
  <c r="K43" i="3"/>
  <c r="K45" i="3"/>
  <c r="K51" i="3"/>
  <c r="K52" i="3"/>
  <c r="K54" i="3"/>
  <c r="K60" i="3"/>
  <c r="K61" i="3"/>
  <c r="K63" i="3"/>
  <c r="G60" i="3"/>
  <c r="G61" i="3"/>
  <c r="G63" i="3"/>
  <c r="G51" i="3"/>
  <c r="G52" i="3"/>
  <c r="G54" i="3"/>
  <c r="F54" i="3" s="1"/>
  <c r="G42" i="3"/>
  <c r="G43" i="3"/>
  <c r="G45" i="3"/>
  <c r="G33" i="3"/>
  <c r="G34" i="3"/>
  <c r="G36" i="3"/>
  <c r="G24" i="3"/>
  <c r="G25" i="3"/>
  <c r="G27" i="3"/>
  <c r="G15" i="3"/>
  <c r="G16" i="3"/>
  <c r="G18" i="3"/>
  <c r="O6" i="3"/>
  <c r="O7" i="3"/>
  <c r="O9" i="3"/>
  <c r="K6" i="3"/>
  <c r="K7" i="3"/>
  <c r="K9" i="3"/>
  <c r="J9" i="3" s="1"/>
  <c r="G6" i="3"/>
  <c r="G7" i="3"/>
  <c r="G9" i="3"/>
  <c r="C6" i="3"/>
  <c r="C7" i="3"/>
  <c r="C9" i="3"/>
  <c r="K42" i="2"/>
  <c r="K43" i="2"/>
  <c r="K45" i="2"/>
  <c r="J45" i="2" s="1"/>
  <c r="K33" i="2"/>
  <c r="K34" i="2"/>
  <c r="K36" i="2"/>
  <c r="J36" i="2" s="1"/>
  <c r="K24" i="2"/>
  <c r="K25" i="2"/>
  <c r="K27" i="2"/>
  <c r="J27" i="2" s="1"/>
  <c r="K15" i="2"/>
  <c r="K16" i="2"/>
  <c r="K18" i="2"/>
  <c r="J18" i="2" s="1"/>
  <c r="K6" i="2"/>
  <c r="K7" i="2"/>
  <c r="K9" i="2"/>
  <c r="J9" i="2" s="1"/>
  <c r="G33" i="2"/>
  <c r="G34" i="2"/>
  <c r="G36" i="2"/>
  <c r="F36" i="2" s="1"/>
  <c r="G24" i="2"/>
  <c r="G25" i="2"/>
  <c r="G27" i="2"/>
  <c r="F27" i="2" s="1"/>
  <c r="G15" i="2"/>
  <c r="G16" i="2"/>
  <c r="G18" i="2"/>
  <c r="F18" i="2" s="1"/>
  <c r="G6" i="2"/>
  <c r="G7" i="2"/>
  <c r="G9" i="2"/>
  <c r="F9" i="2" s="1"/>
  <c r="C42" i="2"/>
  <c r="C43" i="2"/>
  <c r="C45" i="2"/>
  <c r="B45" i="2" s="1"/>
  <c r="C33" i="2"/>
  <c r="C34" i="2"/>
  <c r="C36" i="2"/>
  <c r="B36" i="2" s="1"/>
  <c r="C24" i="2"/>
  <c r="C25" i="2"/>
  <c r="C27" i="2"/>
  <c r="B27" i="2" s="1"/>
  <c r="C15" i="2"/>
  <c r="C16" i="2"/>
  <c r="C18" i="2"/>
  <c r="B18" i="2" s="1"/>
  <c r="C6" i="2"/>
  <c r="C7" i="2"/>
  <c r="C9" i="2"/>
  <c r="B9" i="2" s="1"/>
  <c r="G42" i="6" l="1"/>
  <c r="F42" i="6" s="1"/>
</calcChain>
</file>

<file path=xl/sharedStrings.xml><?xml version="1.0" encoding="utf-8"?>
<sst xmlns="http://schemas.openxmlformats.org/spreadsheetml/2006/main" count="957" uniqueCount="144">
  <si>
    <t>Aspen</t>
  </si>
  <si>
    <t>Cost of Tub + Cover</t>
  </si>
  <si>
    <t>Chelsee/Hamilton</t>
  </si>
  <si>
    <t>Mckinley</t>
  </si>
  <si>
    <t>Cost of Freight</t>
  </si>
  <si>
    <t>Cost of Cover Lifter</t>
  </si>
  <si>
    <t>Cost of Steps</t>
  </si>
  <si>
    <t>Commission (6%)</t>
  </si>
  <si>
    <t>Total:</t>
  </si>
  <si>
    <t>Price of Unit:</t>
  </si>
  <si>
    <t>Profit Margin % and $</t>
  </si>
  <si>
    <t>Optima/Cameo</t>
  </si>
  <si>
    <t xml:space="preserve">Bristol </t>
  </si>
  <si>
    <t>Edison/Peyton</t>
  </si>
  <si>
    <t>Vistamar/Altamar</t>
  </si>
  <si>
    <t>Montclair</t>
  </si>
  <si>
    <t>Prado</t>
  </si>
  <si>
    <t>Marin</t>
  </si>
  <si>
    <t>Dover</t>
  </si>
  <si>
    <t>Alicia</t>
  </si>
  <si>
    <t>Capri</t>
  </si>
  <si>
    <t>Nova</t>
  </si>
  <si>
    <t>Ledgend</t>
  </si>
  <si>
    <t>Twilight</t>
  </si>
  <si>
    <t>Clarity</t>
  </si>
  <si>
    <t>Getaway</t>
  </si>
  <si>
    <t>LSX 900</t>
  </si>
  <si>
    <t>Twilight 8.25</t>
  </si>
  <si>
    <t>Balance 9</t>
  </si>
  <si>
    <t>Bar Harbor LE</t>
  </si>
  <si>
    <t>LSX 850</t>
  </si>
  <si>
    <t>Twilight 8.2</t>
  </si>
  <si>
    <t>Balance 8</t>
  </si>
  <si>
    <t>Bar Harbor SE</t>
  </si>
  <si>
    <t>LSX 800</t>
  </si>
  <si>
    <t>Twilight 7.25</t>
  </si>
  <si>
    <t>Precision 8</t>
  </si>
  <si>
    <t>Ocho Rios CS</t>
  </si>
  <si>
    <t>LSX 700</t>
  </si>
  <si>
    <t>Twilight 7.2</t>
  </si>
  <si>
    <t>Balance 7</t>
  </si>
  <si>
    <t>Ocho Rios SE</t>
  </si>
  <si>
    <t>Twilight 67.25</t>
  </si>
  <si>
    <t>Percision 7</t>
  </si>
  <si>
    <t>San Miquel</t>
  </si>
  <si>
    <t>Twilight 6.2</t>
  </si>
  <si>
    <t>Balance 6</t>
  </si>
  <si>
    <t>Twilight 240X</t>
  </si>
  <si>
    <t>Balance 6 CS</t>
  </si>
  <si>
    <t>Premium</t>
  </si>
  <si>
    <t>Maximus</t>
  </si>
  <si>
    <t>Eco E1/E2</t>
  </si>
  <si>
    <t>Cost of Tub</t>
  </si>
  <si>
    <t>Barcelona</t>
  </si>
  <si>
    <t>Eco E3/E4</t>
  </si>
  <si>
    <t>Tokyo</t>
  </si>
  <si>
    <t>Eco E5 Standard</t>
  </si>
  <si>
    <t>Oslo</t>
  </si>
  <si>
    <t>Eco E5 Dlux</t>
  </si>
  <si>
    <t>Infinity</t>
  </si>
  <si>
    <t>Eco E6 Standard</t>
  </si>
  <si>
    <t>Colombo</t>
  </si>
  <si>
    <t>Eco E6 Dlux</t>
  </si>
  <si>
    <t>Santorino</t>
  </si>
  <si>
    <t>Topaz</t>
  </si>
  <si>
    <t>St.Tropez</t>
  </si>
  <si>
    <t>Hekla/Visscher Saunas</t>
  </si>
  <si>
    <t>Finnleo S-Series</t>
  </si>
  <si>
    <t>Finnleo Infrasauna</t>
  </si>
  <si>
    <t>FinSauna Therma</t>
  </si>
  <si>
    <t>FinSauna Radia IR</t>
  </si>
  <si>
    <t>FinSauna Radia TIR</t>
  </si>
  <si>
    <t>FinSauna Outdoor</t>
  </si>
  <si>
    <t>Hekla 100</t>
  </si>
  <si>
    <t>S 810</t>
  </si>
  <si>
    <t>IS440</t>
  </si>
  <si>
    <t>Therma 44</t>
  </si>
  <si>
    <t>Radia IR 100</t>
  </si>
  <si>
    <t>Radia TIR 200</t>
  </si>
  <si>
    <t>Vivida 400</t>
  </si>
  <si>
    <t>NO HEATER ON THE OUTDOOR</t>
  </si>
  <si>
    <t>Margin % and $</t>
  </si>
  <si>
    <t>Hekla 130</t>
  </si>
  <si>
    <t>S 820</t>
  </si>
  <si>
    <t>IS 565</t>
  </si>
  <si>
    <t>Therma 46</t>
  </si>
  <si>
    <t>Radia IR 200</t>
  </si>
  <si>
    <t>Radia TIR 400</t>
  </si>
  <si>
    <t>Solara 200 GF</t>
  </si>
  <si>
    <t>Hekla 160</t>
  </si>
  <si>
    <t>S 825</t>
  </si>
  <si>
    <t>HM44 20amp</t>
  </si>
  <si>
    <t>Therma 57</t>
  </si>
  <si>
    <t>Radia IR 300</t>
  </si>
  <si>
    <t>Solara 400 GF</t>
  </si>
  <si>
    <t>Visscher</t>
  </si>
  <si>
    <t>Visscher Sauna</t>
  </si>
  <si>
    <t>S 830</t>
  </si>
  <si>
    <t>HM46</t>
  </si>
  <si>
    <t>Therma 78</t>
  </si>
  <si>
    <t>Radia IR 300C</t>
  </si>
  <si>
    <t>Keila 200</t>
  </si>
  <si>
    <t>S 840</t>
  </si>
  <si>
    <t>HM57</t>
  </si>
  <si>
    <t>Radia IR 400U</t>
  </si>
  <si>
    <t>Keila 400</t>
  </si>
  <si>
    <t>S 870</t>
  </si>
  <si>
    <t xml:space="preserve">North Star </t>
  </si>
  <si>
    <t>MSRP</t>
  </si>
  <si>
    <t>Solara 400p</t>
  </si>
  <si>
    <t>NSI-44</t>
  </si>
  <si>
    <t>NSI-46</t>
  </si>
  <si>
    <t>NSI-56</t>
  </si>
  <si>
    <t>NSI-57</t>
  </si>
  <si>
    <t>NSO-46</t>
  </si>
  <si>
    <t>NSO-56</t>
  </si>
  <si>
    <t>NSO-57</t>
  </si>
  <si>
    <t>Solara 700</t>
  </si>
  <si>
    <t>H2X</t>
  </si>
  <si>
    <t xml:space="preserve">Michael Phelps </t>
  </si>
  <si>
    <t>Challenger 21D</t>
  </si>
  <si>
    <t>Traine 12</t>
  </si>
  <si>
    <t>Momentum D</t>
  </si>
  <si>
    <t>Platinum Helios Pro 19ft</t>
  </si>
  <si>
    <t>Challenger 19MAX</t>
  </si>
  <si>
    <t>Therapool 15</t>
  </si>
  <si>
    <t>Signature Pro</t>
  </si>
  <si>
    <t>Platinum Helios 19ft</t>
  </si>
  <si>
    <t>Challenger 15D Temp+Control</t>
  </si>
  <si>
    <t>Therapool 13</t>
  </si>
  <si>
    <t>Platinum Zelus Pro</t>
  </si>
  <si>
    <t>Trainer 21D</t>
  </si>
  <si>
    <t>Therapool D</t>
  </si>
  <si>
    <t xml:space="preserve">Platinum Zelus  </t>
  </si>
  <si>
    <t>Trainer 19 MAX</t>
  </si>
  <si>
    <t>Therapool SE</t>
  </si>
  <si>
    <t>Platinum Eros Pro 15ft</t>
  </si>
  <si>
    <t>Trainer  15 Temp+Con</t>
  </si>
  <si>
    <t>Platinum Eros 15ft</t>
  </si>
  <si>
    <t>Trainer 15D</t>
  </si>
  <si>
    <t>Trainer 15</t>
  </si>
  <si>
    <t>Platinum Titan</t>
  </si>
  <si>
    <t>Covana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</si>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</sst>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[$$-409]* #,##0.00_);_([$$-409]* \(#,##0.00\);_([$$-409]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b/>
      <sz val="11"/>
      <color theme="0"/>
      <name val="Times New Roman"/>
    </font>
    <font>
      <sz val="11"/>
      <color theme="0"/>
      <name val="Times New Roman"/>
    </font>
    <font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3" borderId="0" xfId="0" applyFont="1" applyFill="1"/>
    <xf numFmtId="164" fontId="1" fillId="2" borderId="0" xfId="0" applyNumberFormat="1" applyFont="1" applyFill="1" applyAlignment="1">
      <alignment horizontal="right"/>
    </xf>
    <xf numFmtId="0" fontId="0" fillId="0" borderId="0" xfId="0" applyFill="1"/>
    <xf numFmtId="0" fontId="4" fillId="3" borderId="0" xfId="0" applyFont="1" applyFill="1"/>
    <xf numFmtId="0" fontId="1" fillId="0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horizontal="right"/>
    </xf>
    <xf numFmtId="164" fontId="1" fillId="5" borderId="0" xfId="0" applyNumberFormat="1" applyFont="1" applyFill="1" applyAlignment="1">
      <alignment horizontal="right"/>
    </xf>
    <xf numFmtId="43" fontId="2" fillId="0" borderId="0" xfId="0" applyNumberFormat="1" applyFont="1" applyAlignment="1">
      <alignment horizontal="right"/>
    </xf>
    <xf numFmtId="0" fontId="7" fillId="0" borderId="0" xfId="0" applyFont="1"/>
    <xf numFmtId="164" fontId="2" fillId="2" borderId="0" xfId="0" applyNumberFormat="1" applyFont="1" applyFill="1" applyAlignment="1">
      <alignment horizontal="right"/>
    </xf>
    <xf numFmtId="0" fontId="2" fillId="0" borderId="0" xfId="0" applyFont="1"/>
    <xf numFmtId="0" fontId="1" fillId="6" borderId="0" xfId="0" applyFon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8" fillId="7" borderId="0" xfId="0" applyFont="1" applyFill="1" applyBorder="1"/>
    <xf numFmtId="0" fontId="3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/>
    <xf numFmtId="0" fontId="3" fillId="3" borderId="0" xfId="0" applyFont="1" applyFill="1" applyBorder="1" applyAlignment="1">
      <alignment horizontal="center"/>
    </xf>
    <xf numFmtId="0" fontId="8" fillId="3" borderId="0" xfId="0" applyFont="1" applyFill="1" applyBorder="1" applyAlignment="1"/>
    <xf numFmtId="0" fontId="0" fillId="0" borderId="0" xfId="0" applyBorder="1"/>
    <xf numFmtId="0" fontId="1" fillId="4" borderId="0" xfId="0" applyFont="1" applyFill="1" applyBorder="1"/>
    <xf numFmtId="0" fontId="1" fillId="0" borderId="0" xfId="0" applyFont="1" applyBorder="1"/>
    <xf numFmtId="164" fontId="1" fillId="0" borderId="0" xfId="0" applyNumberFormat="1" applyFont="1" applyBorder="1" applyAlignment="1">
      <alignment horizontal="right"/>
    </xf>
    <xf numFmtId="0" fontId="1" fillId="3" borderId="0" xfId="0" applyFont="1" applyFill="1" applyBorder="1"/>
    <xf numFmtId="0" fontId="8" fillId="3" borderId="0" xfId="0" applyFont="1" applyFill="1" applyBorder="1"/>
    <xf numFmtId="0" fontId="1" fillId="0" borderId="0" xfId="0" applyFont="1" applyBorder="1" applyAlignment="1">
      <alignment horizontal="right"/>
    </xf>
    <xf numFmtId="0" fontId="1" fillId="5" borderId="0" xfId="0" applyFont="1" applyFill="1" applyBorder="1" applyAlignment="1">
      <alignment horizontal="right"/>
    </xf>
    <xf numFmtId="164" fontId="1" fillId="5" borderId="0" xfId="0" applyNumberFormat="1" applyFont="1" applyFill="1" applyBorder="1" applyAlignment="1">
      <alignment horizontal="right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0" fontId="2" fillId="0" borderId="0" xfId="0" applyFont="1" applyBorder="1"/>
    <xf numFmtId="0" fontId="4" fillId="3" borderId="0" xfId="0" applyFont="1" applyFill="1" applyBorder="1" applyAlignment="1">
      <alignment horizontal="center"/>
    </xf>
    <xf numFmtId="0" fontId="0" fillId="3" borderId="0" xfId="0" applyFill="1" applyBorder="1"/>
    <xf numFmtId="0" fontId="1" fillId="4" borderId="0" xfId="0" applyFont="1" applyFill="1" applyBorder="1" applyAlignment="1">
      <alignment wrapText="1"/>
    </xf>
    <xf numFmtId="6" fontId="0" fillId="0" borderId="0" xfId="0" applyNumberFormat="1" applyBorder="1"/>
    <xf numFmtId="0" fontId="1" fillId="0" borderId="0" xfId="0" applyFont="1" applyFill="1" applyBorder="1"/>
    <xf numFmtId="164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64" fontId="1" fillId="0" borderId="0" xfId="0" applyNumberFormat="1" applyFont="1" applyBorder="1" applyAlignment="1"/>
    <xf numFmtId="0" fontId="3" fillId="3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6873-B3FF-4FA8-80EE-6313596AE920}">
  <sheetPr>
    <pageSetUpPr fitToPage="1"/>
  </sheetPr>
  <dimension ref="A1:L97"/>
  <sheetViews>
    <sheetView topLeftCell="A15" workbookViewId="0">
      <selection activeCell="O7" sqref="O7"/>
    </sheetView>
  </sheetViews>
  <sheetFormatPr defaultRowHeight="15"/>
  <cols>
    <col min="1" max="1" width="21.7109375" customWidth="1"/>
    <col min="2" max="2" width="19" customWidth="1"/>
    <col min="3" max="3" width="18.28515625" customWidth="1"/>
    <col min="4" max="4" width="5" customWidth="1"/>
    <col min="5" max="5" width="21.5703125" customWidth="1"/>
    <col min="6" max="6" width="21" customWidth="1"/>
    <col min="7" max="7" width="14.28515625" customWidth="1"/>
    <col min="8" max="8" width="5.140625" customWidth="1"/>
    <col min="9" max="9" width="21" customWidth="1"/>
    <col min="10" max="10" width="19.85546875" customWidth="1"/>
    <col min="11" max="11" width="14.28515625" customWidth="1"/>
    <col min="12" max="12" width="4.42578125" customWidth="1"/>
  </cols>
  <sheetData>
    <row r="1" spans="1:12">
      <c r="A1" s="10">
        <v>880</v>
      </c>
      <c r="B1" s="11"/>
      <c r="C1" s="11"/>
      <c r="D1" s="11"/>
      <c r="E1" s="10">
        <v>780</v>
      </c>
      <c r="F1" s="11"/>
      <c r="G1" s="11"/>
      <c r="H1" s="11"/>
      <c r="I1" s="11">
        <v>680</v>
      </c>
      <c r="J1" s="8"/>
      <c r="K1" s="8"/>
      <c r="L1" s="8"/>
    </row>
    <row r="2" spans="1:12">
      <c r="A2" s="15" t="s">
        <v>0</v>
      </c>
      <c r="B2" s="1" t="s">
        <v>1</v>
      </c>
      <c r="C2" s="4">
        <v>13069</v>
      </c>
      <c r="D2" s="5"/>
      <c r="E2" s="16" t="s">
        <v>2</v>
      </c>
      <c r="F2" s="1" t="s">
        <v>1</v>
      </c>
      <c r="G2" s="4">
        <v>7910</v>
      </c>
      <c r="H2" s="5"/>
      <c r="I2" s="15" t="s">
        <v>3</v>
      </c>
      <c r="J2" s="1" t="s">
        <v>1</v>
      </c>
      <c r="K2" s="4">
        <v>5846</v>
      </c>
      <c r="L2" s="5"/>
    </row>
    <row r="3" spans="1:12">
      <c r="A3" s="1"/>
      <c r="B3" s="1" t="s">
        <v>4</v>
      </c>
      <c r="C3" s="4">
        <v>550</v>
      </c>
      <c r="D3" s="5"/>
      <c r="E3" s="1"/>
      <c r="F3" s="1" t="s">
        <v>4</v>
      </c>
      <c r="G3" s="4">
        <v>550</v>
      </c>
      <c r="H3" s="5"/>
      <c r="I3" s="1"/>
      <c r="J3" s="1" t="s">
        <v>4</v>
      </c>
      <c r="K3" s="4">
        <v>550</v>
      </c>
      <c r="L3" s="5"/>
    </row>
    <row r="4" spans="1:12">
      <c r="A4" s="1"/>
      <c r="B4" s="1" t="s">
        <v>5</v>
      </c>
      <c r="C4" s="4">
        <v>155</v>
      </c>
      <c r="D4" s="5"/>
      <c r="E4" s="1"/>
      <c r="F4" s="1" t="s">
        <v>5</v>
      </c>
      <c r="G4" s="4">
        <v>155</v>
      </c>
      <c r="H4" s="5"/>
      <c r="I4" s="1"/>
      <c r="J4" s="1" t="s">
        <v>5</v>
      </c>
      <c r="K4" s="4">
        <v>155</v>
      </c>
      <c r="L4" s="5"/>
    </row>
    <row r="5" spans="1:12">
      <c r="A5" s="1"/>
      <c r="B5" s="1" t="s">
        <v>6</v>
      </c>
      <c r="C5" s="4">
        <v>110</v>
      </c>
      <c r="D5" s="5"/>
      <c r="E5" s="1"/>
      <c r="F5" s="1" t="s">
        <v>6</v>
      </c>
      <c r="G5" s="4">
        <v>110</v>
      </c>
      <c r="H5" s="5"/>
      <c r="I5" s="1"/>
      <c r="J5" s="1" t="s">
        <v>6</v>
      </c>
      <c r="K5" s="4">
        <v>110</v>
      </c>
      <c r="L5" s="5"/>
    </row>
    <row r="6" spans="1:12">
      <c r="A6" s="1"/>
      <c r="B6" s="1" t="s">
        <v>7</v>
      </c>
      <c r="C6" s="4">
        <f>(C8*6%)</f>
        <v>1439.94</v>
      </c>
      <c r="D6" s="5"/>
      <c r="E6" s="1"/>
      <c r="F6" s="1" t="s">
        <v>7</v>
      </c>
      <c r="G6" s="4">
        <f>(G8*6%)</f>
        <v>1019.9399999999999</v>
      </c>
      <c r="H6" s="5"/>
      <c r="I6" s="1"/>
      <c r="J6" s="1" t="s">
        <v>7</v>
      </c>
      <c r="K6" s="4">
        <f>(K8*6%)</f>
        <v>779.93999999999994</v>
      </c>
      <c r="L6" s="5"/>
    </row>
    <row r="7" spans="1:12">
      <c r="A7" s="1"/>
      <c r="B7" s="2" t="s">
        <v>8</v>
      </c>
      <c r="C7" s="4">
        <f>SUM(C2:C6)</f>
        <v>15323.94</v>
      </c>
      <c r="D7" s="5"/>
      <c r="E7" s="1"/>
      <c r="F7" s="2" t="s">
        <v>8</v>
      </c>
      <c r="G7" s="4">
        <f>SUM(G2:G6)</f>
        <v>9744.94</v>
      </c>
      <c r="H7" s="5"/>
      <c r="I7" s="1"/>
      <c r="J7" s="2" t="s">
        <v>8</v>
      </c>
      <c r="K7" s="4">
        <f>SUM(K2:K6)</f>
        <v>7440.94</v>
      </c>
      <c r="L7" s="5"/>
    </row>
    <row r="8" spans="1:12">
      <c r="A8" s="1"/>
      <c r="B8" s="17" t="s">
        <v>9</v>
      </c>
      <c r="C8" s="18">
        <v>23999</v>
      </c>
      <c r="D8" s="5"/>
      <c r="E8" s="1"/>
      <c r="F8" s="17" t="s">
        <v>9</v>
      </c>
      <c r="G8" s="18">
        <v>16999</v>
      </c>
      <c r="H8" s="5"/>
      <c r="I8" s="1"/>
      <c r="J8" s="17" t="s">
        <v>9</v>
      </c>
      <c r="K8" s="18">
        <v>12999</v>
      </c>
      <c r="L8" s="5"/>
    </row>
    <row r="9" spans="1:12">
      <c r="A9" s="22" t="s">
        <v>10</v>
      </c>
      <c r="B9" s="3">
        <f>C9/C8</f>
        <v>0.36147589482895121</v>
      </c>
      <c r="C9" s="6">
        <f>(C8-C7)</f>
        <v>8675.06</v>
      </c>
      <c r="D9" s="5"/>
      <c r="E9" s="22" t="s">
        <v>10</v>
      </c>
      <c r="F9" s="3">
        <f>G9/G8</f>
        <v>0.4267345137949291</v>
      </c>
      <c r="G9" s="6">
        <f>(G8-G7)</f>
        <v>7254.0599999999995</v>
      </c>
      <c r="H9" s="5"/>
      <c r="I9" s="22" t="s">
        <v>10</v>
      </c>
      <c r="J9" s="3">
        <f>K9/K8</f>
        <v>0.42757596738210635</v>
      </c>
      <c r="K9" s="6">
        <f>(K8-K7)</f>
        <v>5558.06</v>
      </c>
      <c r="L9" s="5"/>
    </row>
    <row r="10" spans="1:12">
      <c r="A10" s="5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15" t="s">
        <v>11</v>
      </c>
      <c r="B11" s="1" t="s">
        <v>1</v>
      </c>
      <c r="C11" s="4">
        <v>10844</v>
      </c>
      <c r="D11" s="5"/>
      <c r="E11" s="15" t="s">
        <v>12</v>
      </c>
      <c r="F11" s="1" t="s">
        <v>1</v>
      </c>
      <c r="G11" s="4">
        <v>7453</v>
      </c>
      <c r="H11" s="5"/>
      <c r="I11" s="15" t="s">
        <v>13</v>
      </c>
      <c r="J11" s="1" t="s">
        <v>1</v>
      </c>
      <c r="K11" s="4">
        <v>4615</v>
      </c>
      <c r="L11" s="5"/>
    </row>
    <row r="12" spans="1:12">
      <c r="A12" s="1"/>
      <c r="B12" s="1" t="s">
        <v>4</v>
      </c>
      <c r="C12" s="4">
        <v>550</v>
      </c>
      <c r="D12" s="5"/>
      <c r="E12" s="1"/>
      <c r="F12" s="1" t="s">
        <v>4</v>
      </c>
      <c r="G12" s="4">
        <v>550</v>
      </c>
      <c r="H12" s="5"/>
      <c r="I12" s="1"/>
      <c r="J12" s="1" t="s">
        <v>4</v>
      </c>
      <c r="K12" s="4">
        <v>550</v>
      </c>
      <c r="L12" s="5"/>
    </row>
    <row r="13" spans="1:12">
      <c r="A13" s="1"/>
      <c r="B13" s="1" t="s">
        <v>5</v>
      </c>
      <c r="C13" s="4">
        <v>155</v>
      </c>
      <c r="D13" s="5"/>
      <c r="E13" s="1"/>
      <c r="F13" s="1" t="s">
        <v>5</v>
      </c>
      <c r="G13" s="4">
        <v>155</v>
      </c>
      <c r="H13" s="5"/>
      <c r="I13" s="1"/>
      <c r="J13" s="1" t="s">
        <v>5</v>
      </c>
      <c r="K13" s="4">
        <v>155</v>
      </c>
      <c r="L13" s="5"/>
    </row>
    <row r="14" spans="1:12">
      <c r="A14" s="1"/>
      <c r="B14" s="1" t="s">
        <v>6</v>
      </c>
      <c r="C14" s="4">
        <v>110</v>
      </c>
      <c r="D14" s="5"/>
      <c r="E14" s="1"/>
      <c r="F14" s="1" t="s">
        <v>6</v>
      </c>
      <c r="G14" s="4">
        <v>110</v>
      </c>
      <c r="H14" s="5"/>
      <c r="I14" s="1"/>
      <c r="J14" s="1" t="s">
        <v>6</v>
      </c>
      <c r="K14" s="4">
        <v>110</v>
      </c>
      <c r="L14" s="5"/>
    </row>
    <row r="15" spans="1:12">
      <c r="A15" s="1"/>
      <c r="B15" s="1" t="s">
        <v>7</v>
      </c>
      <c r="C15" s="4">
        <f>(C17*6%)</f>
        <v>1199.94</v>
      </c>
      <c r="D15" s="5"/>
      <c r="E15" s="1"/>
      <c r="F15" s="1" t="s">
        <v>7</v>
      </c>
      <c r="G15" s="4">
        <f>(G17*6%)</f>
        <v>959.93999999999994</v>
      </c>
      <c r="H15" s="5"/>
      <c r="I15" s="1"/>
      <c r="J15" s="1" t="s">
        <v>7</v>
      </c>
      <c r="K15" s="4">
        <f>(K17*6%)</f>
        <v>719.93999999999994</v>
      </c>
      <c r="L15" s="5"/>
    </row>
    <row r="16" spans="1:12">
      <c r="A16" s="1"/>
      <c r="B16" s="2" t="s">
        <v>8</v>
      </c>
      <c r="C16" s="4">
        <f>SUM(C11:C15)</f>
        <v>12858.94</v>
      </c>
      <c r="D16" s="5"/>
      <c r="E16" s="1"/>
      <c r="F16" s="2" t="s">
        <v>8</v>
      </c>
      <c r="G16" s="4">
        <f>SUM(G11:G15)</f>
        <v>9227.94</v>
      </c>
      <c r="H16" s="5"/>
      <c r="I16" s="1"/>
      <c r="J16" s="2" t="s">
        <v>8</v>
      </c>
      <c r="K16" s="4">
        <f>SUM(K11:K15)</f>
        <v>6149.94</v>
      </c>
      <c r="L16" s="5"/>
    </row>
    <row r="17" spans="1:12">
      <c r="A17" s="1"/>
      <c r="B17" s="17" t="s">
        <v>9</v>
      </c>
      <c r="C17" s="18">
        <v>19999</v>
      </c>
      <c r="D17" s="5"/>
      <c r="E17" s="1"/>
      <c r="F17" s="17" t="s">
        <v>9</v>
      </c>
      <c r="G17" s="18">
        <v>15999</v>
      </c>
      <c r="H17" s="5"/>
      <c r="I17" s="1"/>
      <c r="J17" s="17" t="s">
        <v>9</v>
      </c>
      <c r="K17" s="18">
        <v>11999</v>
      </c>
      <c r="L17" s="5"/>
    </row>
    <row r="18" spans="1:12">
      <c r="A18" s="22" t="s">
        <v>10</v>
      </c>
      <c r="B18" s="3">
        <f>C18/C17</f>
        <v>0.3570208510425521</v>
      </c>
      <c r="C18" s="6">
        <f>(C17-C16)</f>
        <v>7140.0599999999995</v>
      </c>
      <c r="D18" s="5"/>
      <c r="E18" s="22" t="s">
        <v>10</v>
      </c>
      <c r="F18" s="3">
        <f>G18/G17</f>
        <v>0.42321770110631912</v>
      </c>
      <c r="G18" s="6">
        <f>(G17-G16)</f>
        <v>6771.0599999999995</v>
      </c>
      <c r="H18" s="5"/>
      <c r="I18" s="22" t="s">
        <v>10</v>
      </c>
      <c r="J18" s="3">
        <f>K18/K17</f>
        <v>0.48746228852404372</v>
      </c>
      <c r="K18" s="6">
        <f>(K17-K16)</f>
        <v>5849.06</v>
      </c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16" t="s">
        <v>14</v>
      </c>
      <c r="B20" s="1" t="s">
        <v>1</v>
      </c>
      <c r="C20" s="4">
        <v>9958</v>
      </c>
      <c r="D20" s="5"/>
      <c r="E20" s="15" t="s">
        <v>15</v>
      </c>
      <c r="F20" s="1" t="s">
        <v>1</v>
      </c>
      <c r="G20" s="4">
        <v>6915</v>
      </c>
      <c r="H20" s="5"/>
      <c r="I20" s="15" t="s">
        <v>16</v>
      </c>
      <c r="J20" s="1" t="s">
        <v>1</v>
      </c>
      <c r="K20" s="4">
        <v>4475</v>
      </c>
      <c r="L20" s="5"/>
    </row>
    <row r="21" spans="1:12">
      <c r="A21" s="1"/>
      <c r="B21" s="1" t="s">
        <v>4</v>
      </c>
      <c r="C21" s="4">
        <v>550</v>
      </c>
      <c r="D21" s="5"/>
      <c r="E21" s="1"/>
      <c r="F21" s="1" t="s">
        <v>4</v>
      </c>
      <c r="G21" s="4">
        <v>550</v>
      </c>
      <c r="H21" s="5"/>
      <c r="I21" s="1"/>
      <c r="J21" s="1" t="s">
        <v>4</v>
      </c>
      <c r="K21" s="4">
        <v>550</v>
      </c>
      <c r="L21" s="5"/>
    </row>
    <row r="22" spans="1:12">
      <c r="A22" s="1"/>
      <c r="B22" s="1" t="s">
        <v>5</v>
      </c>
      <c r="C22" s="4">
        <v>155</v>
      </c>
      <c r="D22" s="5"/>
      <c r="E22" s="1"/>
      <c r="F22" s="1" t="s">
        <v>5</v>
      </c>
      <c r="G22" s="4">
        <v>155</v>
      </c>
      <c r="H22" s="5"/>
      <c r="I22" s="1"/>
      <c r="J22" s="1" t="s">
        <v>5</v>
      </c>
      <c r="K22" s="4">
        <v>155</v>
      </c>
      <c r="L22" s="5"/>
    </row>
    <row r="23" spans="1:12">
      <c r="A23" s="1"/>
      <c r="B23" s="1" t="s">
        <v>6</v>
      </c>
      <c r="C23" s="4">
        <v>110</v>
      </c>
      <c r="D23" s="5"/>
      <c r="E23" s="1"/>
      <c r="F23" s="1" t="s">
        <v>6</v>
      </c>
      <c r="G23" s="4">
        <v>110</v>
      </c>
      <c r="H23" s="5"/>
      <c r="I23" s="1"/>
      <c r="J23" s="1" t="s">
        <v>6</v>
      </c>
      <c r="K23" s="4">
        <v>110</v>
      </c>
      <c r="L23" s="5"/>
    </row>
    <row r="24" spans="1:12">
      <c r="A24" s="1"/>
      <c r="B24" s="1" t="s">
        <v>7</v>
      </c>
      <c r="C24" s="4">
        <f>(C26*6%)</f>
        <v>1139.94</v>
      </c>
      <c r="D24" s="5"/>
      <c r="E24" s="1"/>
      <c r="F24" s="1" t="s">
        <v>7</v>
      </c>
      <c r="G24" s="4">
        <f>(G26*6%)</f>
        <v>839.69999999999993</v>
      </c>
      <c r="H24" s="5"/>
      <c r="I24" s="1"/>
      <c r="J24" s="1" t="s">
        <v>7</v>
      </c>
      <c r="K24" s="4">
        <f>(K26*6%)</f>
        <v>599.69999999999993</v>
      </c>
      <c r="L24" s="5"/>
    </row>
    <row r="25" spans="1:12">
      <c r="A25" s="1"/>
      <c r="B25" s="2" t="s">
        <v>8</v>
      </c>
      <c r="C25" s="4">
        <f>SUM(C20:C24)</f>
        <v>11912.94</v>
      </c>
      <c r="D25" s="5"/>
      <c r="E25" s="1"/>
      <c r="F25" s="2" t="s">
        <v>8</v>
      </c>
      <c r="G25" s="4">
        <f>SUM(G20:G24)</f>
        <v>8569.7000000000007</v>
      </c>
      <c r="H25" s="5"/>
      <c r="I25" s="1"/>
      <c r="J25" s="2" t="s">
        <v>8</v>
      </c>
      <c r="K25" s="4">
        <f>SUM(K20:K24)</f>
        <v>5889.7</v>
      </c>
      <c r="L25" s="5"/>
    </row>
    <row r="26" spans="1:12">
      <c r="A26" s="1"/>
      <c r="B26" s="17" t="s">
        <v>9</v>
      </c>
      <c r="C26" s="18">
        <v>18999</v>
      </c>
      <c r="D26" s="5"/>
      <c r="E26" s="1"/>
      <c r="F26" s="17" t="s">
        <v>9</v>
      </c>
      <c r="G26" s="18">
        <v>13995</v>
      </c>
      <c r="H26" s="5"/>
      <c r="I26" s="1"/>
      <c r="J26" s="17" t="s">
        <v>9</v>
      </c>
      <c r="K26" s="18">
        <v>9995</v>
      </c>
      <c r="L26" s="5"/>
    </row>
    <row r="27" spans="1:12">
      <c r="A27" s="1" t="s">
        <v>10</v>
      </c>
      <c r="B27" s="3">
        <f>C27/C26</f>
        <v>0.37297015632401703</v>
      </c>
      <c r="C27" s="6">
        <f>(C26-C25)</f>
        <v>7086.0599999999995</v>
      </c>
      <c r="D27" s="5"/>
      <c r="E27" s="22" t="s">
        <v>10</v>
      </c>
      <c r="F27" s="3">
        <f>G27/G26</f>
        <v>0.38765987852804568</v>
      </c>
      <c r="G27" s="6">
        <f>(G26-G25)</f>
        <v>5425.2999999999993</v>
      </c>
      <c r="H27" s="5"/>
      <c r="I27" s="22" t="s">
        <v>10</v>
      </c>
      <c r="J27" s="3">
        <f>K27/K26</f>
        <v>0.41073536768384195</v>
      </c>
      <c r="K27" s="6">
        <f>(K26-K25)</f>
        <v>4105.3</v>
      </c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15" t="s">
        <v>17</v>
      </c>
      <c r="B29" s="1" t="s">
        <v>1</v>
      </c>
      <c r="C29" s="4">
        <v>9517</v>
      </c>
      <c r="D29" s="5"/>
      <c r="E29" s="15" t="s">
        <v>18</v>
      </c>
      <c r="F29" s="1" t="s">
        <v>1</v>
      </c>
      <c r="G29" s="4">
        <v>6260</v>
      </c>
      <c r="H29" s="5"/>
      <c r="I29" s="15" t="s">
        <v>19</v>
      </c>
      <c r="J29" s="1" t="s">
        <v>1</v>
      </c>
      <c r="K29" s="4">
        <v>4209</v>
      </c>
      <c r="L29" s="5"/>
    </row>
    <row r="30" spans="1:12">
      <c r="A30" s="1"/>
      <c r="B30" s="1" t="s">
        <v>4</v>
      </c>
      <c r="C30" s="4">
        <v>550</v>
      </c>
      <c r="D30" s="5"/>
      <c r="E30" s="1"/>
      <c r="F30" s="1" t="s">
        <v>4</v>
      </c>
      <c r="G30" s="4">
        <v>550</v>
      </c>
      <c r="H30" s="5"/>
      <c r="I30" s="1"/>
      <c r="J30" s="1" t="s">
        <v>4</v>
      </c>
      <c r="K30" s="4">
        <v>550</v>
      </c>
      <c r="L30" s="5"/>
    </row>
    <row r="31" spans="1:12">
      <c r="A31" s="1"/>
      <c r="B31" s="1" t="s">
        <v>5</v>
      </c>
      <c r="C31" s="4">
        <v>155</v>
      </c>
      <c r="D31" s="5"/>
      <c r="E31" s="1"/>
      <c r="F31" s="1" t="s">
        <v>5</v>
      </c>
      <c r="G31" s="4">
        <v>155</v>
      </c>
      <c r="H31" s="5"/>
      <c r="I31" s="1"/>
      <c r="J31" s="1" t="s">
        <v>5</v>
      </c>
      <c r="K31" s="4">
        <v>155</v>
      </c>
      <c r="L31" s="5"/>
    </row>
    <row r="32" spans="1:12">
      <c r="A32" s="1"/>
      <c r="B32" s="1" t="s">
        <v>6</v>
      </c>
      <c r="C32" s="4">
        <v>110</v>
      </c>
      <c r="D32" s="5"/>
      <c r="E32" s="1"/>
      <c r="F32" s="1" t="s">
        <v>6</v>
      </c>
      <c r="G32" s="4">
        <v>110</v>
      </c>
      <c r="H32" s="5"/>
      <c r="I32" s="1"/>
      <c r="J32" s="1" t="s">
        <v>6</v>
      </c>
      <c r="K32" s="4">
        <v>110</v>
      </c>
      <c r="L32" s="5"/>
    </row>
    <row r="33" spans="1:12">
      <c r="A33" s="1"/>
      <c r="B33" s="1" t="s">
        <v>7</v>
      </c>
      <c r="C33" s="4">
        <f>(C35*6%)</f>
        <v>1079.94</v>
      </c>
      <c r="D33" s="5"/>
      <c r="E33" s="1"/>
      <c r="F33" s="1" t="s">
        <v>7</v>
      </c>
      <c r="G33" s="4">
        <f>(G35*6%)</f>
        <v>779.69999999999993</v>
      </c>
      <c r="H33" s="5"/>
      <c r="I33" s="1"/>
      <c r="J33" s="1" t="s">
        <v>7</v>
      </c>
      <c r="K33" s="4">
        <f>(K35*6%)</f>
        <v>599.69999999999993</v>
      </c>
      <c r="L33" s="5"/>
    </row>
    <row r="34" spans="1:12">
      <c r="A34" s="1"/>
      <c r="B34" s="2" t="s">
        <v>8</v>
      </c>
      <c r="C34" s="4">
        <f>SUM(C29:C33)</f>
        <v>11411.94</v>
      </c>
      <c r="D34" s="5"/>
      <c r="E34" s="1"/>
      <c r="F34" s="2" t="s">
        <v>8</v>
      </c>
      <c r="G34" s="4">
        <f>SUM(G29:G33)</f>
        <v>7854.7</v>
      </c>
      <c r="H34" s="5"/>
      <c r="I34" s="1"/>
      <c r="J34" s="2" t="s">
        <v>8</v>
      </c>
      <c r="K34" s="4">
        <f>SUM(K29:K33)</f>
        <v>5623.7</v>
      </c>
      <c r="L34" s="5"/>
    </row>
    <row r="35" spans="1:12">
      <c r="A35" s="1"/>
      <c r="B35" s="17" t="s">
        <v>9</v>
      </c>
      <c r="C35" s="18">
        <v>17999</v>
      </c>
      <c r="D35" s="5"/>
      <c r="E35" s="1"/>
      <c r="F35" s="17" t="s">
        <v>9</v>
      </c>
      <c r="G35" s="18">
        <v>12995</v>
      </c>
      <c r="H35" s="5"/>
      <c r="I35" s="1"/>
      <c r="J35" s="17" t="s">
        <v>9</v>
      </c>
      <c r="K35" s="18">
        <v>9995</v>
      </c>
      <c r="L35" s="5"/>
    </row>
    <row r="36" spans="1:12">
      <c r="A36" s="22" t="s">
        <v>10</v>
      </c>
      <c r="B36" s="3">
        <f>C36/C35</f>
        <v>0.36596810933940771</v>
      </c>
      <c r="C36" s="6">
        <f>(C35-C34)</f>
        <v>6587.0599999999995</v>
      </c>
      <c r="D36" s="5"/>
      <c r="E36" s="22" t="s">
        <v>10</v>
      </c>
      <c r="F36" s="3">
        <f>G36/G35</f>
        <v>0.39555983070411699</v>
      </c>
      <c r="G36" s="6">
        <f>(G35-G34)</f>
        <v>5140.3</v>
      </c>
      <c r="H36" s="5"/>
      <c r="I36" s="22" t="s">
        <v>10</v>
      </c>
      <c r="J36" s="3">
        <f>K36/K35</f>
        <v>0.43734867433716862</v>
      </c>
      <c r="K36" s="6">
        <f>(K35-K34)</f>
        <v>4371.3</v>
      </c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15" t="s">
        <v>20</v>
      </c>
      <c r="B38" s="1" t="s">
        <v>1</v>
      </c>
      <c r="C38" s="4">
        <v>8632</v>
      </c>
      <c r="D38" s="5"/>
      <c r="E38" s="1"/>
      <c r="F38" s="1"/>
      <c r="G38" s="1"/>
      <c r="H38" s="5"/>
      <c r="I38" s="15" t="s">
        <v>21</v>
      </c>
      <c r="J38" s="1" t="s">
        <v>1</v>
      </c>
      <c r="K38" s="4">
        <v>3825</v>
      </c>
      <c r="L38" s="5"/>
    </row>
    <row r="39" spans="1:12">
      <c r="A39" s="1"/>
      <c r="B39" s="1" t="s">
        <v>4</v>
      </c>
      <c r="C39" s="4">
        <v>550</v>
      </c>
      <c r="D39" s="5"/>
      <c r="E39" s="1"/>
      <c r="F39" s="1"/>
      <c r="G39" s="1"/>
      <c r="H39" s="5"/>
      <c r="I39" s="1"/>
      <c r="J39" s="1" t="s">
        <v>4</v>
      </c>
      <c r="K39" s="4">
        <v>550</v>
      </c>
      <c r="L39" s="5"/>
    </row>
    <row r="40" spans="1:12">
      <c r="A40" s="1"/>
      <c r="B40" s="1" t="s">
        <v>5</v>
      </c>
      <c r="C40" s="4">
        <v>155</v>
      </c>
      <c r="D40" s="5"/>
      <c r="E40" s="1"/>
      <c r="F40" s="1"/>
      <c r="G40" s="1"/>
      <c r="H40" s="5"/>
      <c r="I40" s="1"/>
      <c r="J40" s="1" t="s">
        <v>5</v>
      </c>
      <c r="K40" s="4">
        <v>155</v>
      </c>
      <c r="L40" s="5"/>
    </row>
    <row r="41" spans="1:12">
      <c r="A41" s="1"/>
      <c r="B41" s="1" t="s">
        <v>6</v>
      </c>
      <c r="C41" s="4">
        <v>110</v>
      </c>
      <c r="D41" s="5"/>
      <c r="E41" s="1"/>
      <c r="F41" s="1"/>
      <c r="G41" s="1"/>
      <c r="H41" s="5"/>
      <c r="I41" s="1"/>
      <c r="J41" s="1" t="s">
        <v>6</v>
      </c>
      <c r="K41" s="4">
        <v>110</v>
      </c>
      <c r="L41" s="5"/>
    </row>
    <row r="42" spans="1:12">
      <c r="A42" s="1"/>
      <c r="B42" s="1" t="s">
        <v>7</v>
      </c>
      <c r="C42" s="4">
        <f>(C44*6%)</f>
        <v>1019.9399999999999</v>
      </c>
      <c r="D42" s="5"/>
      <c r="E42" s="1"/>
      <c r="F42" s="1"/>
      <c r="G42" s="1"/>
      <c r="H42" s="5"/>
      <c r="I42" s="1"/>
      <c r="J42" s="1" t="s">
        <v>7</v>
      </c>
      <c r="K42" s="4">
        <f>(K44*6%)</f>
        <v>599.93999999999994</v>
      </c>
      <c r="L42" s="5"/>
    </row>
    <row r="43" spans="1:12">
      <c r="A43" s="1"/>
      <c r="B43" s="2" t="s">
        <v>8</v>
      </c>
      <c r="C43" s="4">
        <f>SUM(C38:C42)</f>
        <v>10466.94</v>
      </c>
      <c r="D43" s="5"/>
      <c r="E43" s="1"/>
      <c r="F43" s="1"/>
      <c r="G43" s="1"/>
      <c r="H43" s="5"/>
      <c r="I43" s="1"/>
      <c r="J43" s="2" t="s">
        <v>8</v>
      </c>
      <c r="K43" s="4">
        <f>SUM(K38:K42)</f>
        <v>5239.9399999999996</v>
      </c>
      <c r="L43" s="5"/>
    </row>
    <row r="44" spans="1:12">
      <c r="A44" s="1"/>
      <c r="B44" s="17" t="s">
        <v>9</v>
      </c>
      <c r="C44" s="18">
        <v>16999</v>
      </c>
      <c r="D44" s="5"/>
      <c r="E44" s="1"/>
      <c r="F44" s="1"/>
      <c r="G44" s="1"/>
      <c r="H44" s="5"/>
      <c r="I44" s="1"/>
      <c r="J44" s="17" t="s">
        <v>9</v>
      </c>
      <c r="K44" s="18">
        <v>9999</v>
      </c>
      <c r="L44" s="5"/>
    </row>
    <row r="45" spans="1:12">
      <c r="A45" s="22" t="s">
        <v>10</v>
      </c>
      <c r="B45" s="3">
        <f>C45/C44</f>
        <v>0.38426142714277306</v>
      </c>
      <c r="C45" s="6">
        <f>(C44-C43)</f>
        <v>6532.0599999999995</v>
      </c>
      <c r="D45" s="5"/>
      <c r="E45" s="1"/>
      <c r="F45" s="1"/>
      <c r="G45" s="1"/>
      <c r="H45" s="5"/>
      <c r="I45" s="22" t="s">
        <v>10</v>
      </c>
      <c r="J45" s="3">
        <f>K45/K44</f>
        <v>0.47595359535953602</v>
      </c>
      <c r="K45" s="6">
        <f>(K44-K43)</f>
        <v>4759.0600000000004</v>
      </c>
      <c r="L45" s="5"/>
    </row>
    <row r="46" spans="1:12">
      <c r="A46" s="5"/>
      <c r="B46" s="5"/>
      <c r="C46" s="5"/>
      <c r="D46" s="5"/>
      <c r="E46" s="1"/>
      <c r="F46" s="1"/>
      <c r="G46" s="1"/>
      <c r="H46" s="5"/>
      <c r="I46" s="5"/>
      <c r="J46" s="5"/>
      <c r="K46" s="5"/>
      <c r="L46" s="5"/>
    </row>
    <row r="47" spans="1:12">
      <c r="A47" s="1"/>
      <c r="B47" s="1"/>
      <c r="C47" s="1"/>
      <c r="D47" s="9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9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9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9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9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9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9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9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9"/>
      <c r="E55" s="1"/>
      <c r="F55" s="1"/>
      <c r="G55" s="1"/>
      <c r="H55" s="1"/>
      <c r="I55" s="1"/>
      <c r="J55" s="1"/>
      <c r="K55" s="1"/>
      <c r="L55" s="1"/>
    </row>
    <row r="56" spans="1:12">
      <c r="D56" s="7"/>
      <c r="E56" s="1"/>
    </row>
    <row r="57" spans="1:12">
      <c r="D57" s="7"/>
      <c r="E57" s="1"/>
    </row>
    <row r="58" spans="1:12">
      <c r="D58" s="7"/>
      <c r="E58" s="1"/>
    </row>
    <row r="59" spans="1:12">
      <c r="D59" s="7"/>
      <c r="E59" s="1"/>
    </row>
    <row r="60" spans="1:12">
      <c r="D60" s="7"/>
      <c r="E60" s="1"/>
    </row>
    <row r="61" spans="1:12">
      <c r="D61" s="7"/>
      <c r="E61" s="1"/>
    </row>
    <row r="62" spans="1:12">
      <c r="D62" s="7"/>
      <c r="E62" s="1"/>
    </row>
    <row r="63" spans="1:12">
      <c r="D63" s="7"/>
      <c r="E63" s="1"/>
    </row>
    <row r="64" spans="1:12">
      <c r="D64" s="7"/>
      <c r="E64" s="1"/>
    </row>
    <row r="65" spans="4:5">
      <c r="D65" s="7"/>
      <c r="E65" s="1"/>
    </row>
    <row r="66" spans="4:5">
      <c r="D66" s="7"/>
      <c r="E66" s="1"/>
    </row>
    <row r="67" spans="4:5">
      <c r="D67" s="7"/>
      <c r="E67" s="1"/>
    </row>
    <row r="68" spans="4:5">
      <c r="D68" s="7"/>
      <c r="E68" s="1"/>
    </row>
    <row r="69" spans="4:5">
      <c r="D69" s="7"/>
      <c r="E69" s="1"/>
    </row>
    <row r="70" spans="4:5">
      <c r="D70" s="7"/>
      <c r="E70" s="1"/>
    </row>
    <row r="71" spans="4:5">
      <c r="D71" s="7"/>
      <c r="E71" s="1"/>
    </row>
    <row r="72" spans="4:5">
      <c r="D72" s="7"/>
      <c r="E72" s="1"/>
    </row>
    <row r="73" spans="4:5">
      <c r="D73" s="7"/>
      <c r="E73" s="1"/>
    </row>
    <row r="74" spans="4:5">
      <c r="D74" s="7"/>
      <c r="E74" s="1"/>
    </row>
    <row r="75" spans="4:5">
      <c r="D75" s="7"/>
      <c r="E75" s="1"/>
    </row>
    <row r="76" spans="4:5">
      <c r="D76" s="7"/>
      <c r="E76" s="1"/>
    </row>
    <row r="77" spans="4:5">
      <c r="D77" s="7"/>
      <c r="E77" s="1"/>
    </row>
    <row r="78" spans="4:5">
      <c r="D78" s="7"/>
      <c r="E78" s="1"/>
    </row>
    <row r="79" spans="4:5">
      <c r="D79" s="7"/>
      <c r="E79" s="1"/>
    </row>
    <row r="80" spans="4:5">
      <c r="D80" s="7"/>
      <c r="E80" s="1"/>
    </row>
    <row r="81" spans="4:5">
      <c r="D81" s="7"/>
      <c r="E81" s="1"/>
    </row>
    <row r="82" spans="4:5">
      <c r="D82" s="7"/>
      <c r="E82" s="1"/>
    </row>
    <row r="83" spans="4:5">
      <c r="D83" s="7"/>
      <c r="E83" s="1"/>
    </row>
    <row r="84" spans="4:5">
      <c r="D84" s="7"/>
      <c r="E84" s="1"/>
    </row>
    <row r="85" spans="4:5">
      <c r="D85" s="7"/>
      <c r="E85" s="1"/>
    </row>
    <row r="86" spans="4:5">
      <c r="D86" s="7"/>
      <c r="E86" s="1"/>
    </row>
    <row r="87" spans="4:5">
      <c r="D87" s="7"/>
      <c r="E87" s="1"/>
    </row>
    <row r="88" spans="4:5">
      <c r="D88" s="7"/>
      <c r="E88" s="1"/>
    </row>
    <row r="89" spans="4:5">
      <c r="D89" s="7"/>
      <c r="E89" s="1"/>
    </row>
    <row r="90" spans="4:5">
      <c r="D90" s="7"/>
      <c r="E90" s="1"/>
    </row>
    <row r="91" spans="4:5">
      <c r="D91" s="7"/>
      <c r="E91" s="1"/>
    </row>
    <row r="92" spans="4:5">
      <c r="D92" s="7"/>
      <c r="E92" s="1"/>
    </row>
    <row r="93" spans="4:5">
      <c r="D93" s="7"/>
      <c r="E93" s="1"/>
    </row>
    <row r="94" spans="4:5">
      <c r="D94" s="7"/>
      <c r="E94" s="1"/>
    </row>
    <row r="95" spans="4:5">
      <c r="D95" s="7"/>
      <c r="E95" s="1"/>
    </row>
    <row r="96" spans="4:5">
      <c r="D96" s="7"/>
      <c r="E96" s="1"/>
    </row>
    <row r="97" spans="5:5">
      <c r="E97" s="1"/>
    </row>
  </sheetData>
  <pageMargins left="0.7" right="0.7" top="0.75" bottom="0.75" header="0.3" footer="0.3"/>
  <pageSetup scale="0" firstPageNumber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2835-7228-4842-927B-E1923C3386D6}">
  <sheetPr>
    <pageSetUpPr fitToPage="1"/>
  </sheetPr>
  <dimension ref="A1:P65"/>
  <sheetViews>
    <sheetView topLeftCell="C1" workbookViewId="0">
      <selection activeCell="T11" sqref="T11"/>
    </sheetView>
  </sheetViews>
  <sheetFormatPr defaultRowHeight="15"/>
  <cols>
    <col min="1" max="1" width="20.140625" customWidth="1"/>
    <col min="2" max="2" width="19.7109375" customWidth="1"/>
    <col min="3" max="3" width="15.5703125" customWidth="1"/>
    <col min="4" max="4" width="6.28515625" customWidth="1"/>
    <col min="5" max="5" width="19.42578125" customWidth="1"/>
    <col min="6" max="6" width="18.42578125" customWidth="1"/>
    <col min="7" max="7" width="16.28515625" customWidth="1"/>
    <col min="8" max="8" width="6.7109375" customWidth="1"/>
    <col min="9" max="9" width="21.7109375" customWidth="1"/>
    <col min="10" max="10" width="19.28515625" customWidth="1"/>
    <col min="11" max="11" width="15" customWidth="1"/>
    <col min="12" max="12" width="5.42578125" customWidth="1"/>
    <col min="13" max="13" width="20.5703125" customWidth="1"/>
    <col min="14" max="14" width="19.140625" customWidth="1"/>
    <col min="15" max="15" width="15.28515625" customWidth="1"/>
    <col min="16" max="16" width="5.140625" customWidth="1"/>
  </cols>
  <sheetData>
    <row r="1" spans="1:16">
      <c r="A1" s="13" t="s">
        <v>22</v>
      </c>
      <c r="B1" s="12"/>
      <c r="C1" s="12"/>
      <c r="D1" s="12"/>
      <c r="E1" s="13" t="s">
        <v>23</v>
      </c>
      <c r="F1" s="12"/>
      <c r="G1" s="12"/>
      <c r="H1" s="12"/>
      <c r="I1" s="14" t="s">
        <v>24</v>
      </c>
      <c r="J1" s="12"/>
      <c r="K1" s="12"/>
      <c r="L1" s="12"/>
      <c r="M1" s="14" t="s">
        <v>25</v>
      </c>
      <c r="N1" s="12"/>
      <c r="O1" s="12"/>
      <c r="P1" s="12"/>
    </row>
    <row r="2" spans="1:16">
      <c r="A2" s="15" t="s">
        <v>26</v>
      </c>
      <c r="B2" s="1" t="s">
        <v>1</v>
      </c>
      <c r="C2" s="4">
        <v>9220</v>
      </c>
      <c r="D2" s="12"/>
      <c r="E2" s="15" t="s">
        <v>27</v>
      </c>
      <c r="F2" s="1" t="s">
        <v>1</v>
      </c>
      <c r="G2" s="4">
        <v>6500</v>
      </c>
      <c r="H2" s="12"/>
      <c r="I2" s="15" t="s">
        <v>28</v>
      </c>
      <c r="J2" s="1" t="s">
        <v>1</v>
      </c>
      <c r="K2" s="4">
        <v>5900</v>
      </c>
      <c r="L2" s="12"/>
      <c r="M2" s="15" t="s">
        <v>29</v>
      </c>
      <c r="N2" s="1" t="s">
        <v>1</v>
      </c>
      <c r="O2" s="4">
        <v>3685</v>
      </c>
      <c r="P2" s="12"/>
    </row>
    <row r="3" spans="1:16">
      <c r="A3" s="1"/>
      <c r="B3" s="1" t="s">
        <v>4</v>
      </c>
      <c r="C3" s="4">
        <v>550</v>
      </c>
      <c r="D3" s="12"/>
      <c r="E3" s="1"/>
      <c r="F3" s="1" t="s">
        <v>4</v>
      </c>
      <c r="G3" s="4">
        <v>550</v>
      </c>
      <c r="H3" s="12"/>
      <c r="I3" s="1"/>
      <c r="J3" s="1" t="s">
        <v>4</v>
      </c>
      <c r="K3" s="4">
        <v>550</v>
      </c>
      <c r="L3" s="12"/>
      <c r="M3" s="1"/>
      <c r="N3" s="1" t="s">
        <v>4</v>
      </c>
      <c r="O3" s="4">
        <v>550</v>
      </c>
      <c r="P3" s="12"/>
    </row>
    <row r="4" spans="1:16">
      <c r="A4" s="1"/>
      <c r="B4" s="1" t="s">
        <v>5</v>
      </c>
      <c r="C4" s="4">
        <v>155</v>
      </c>
      <c r="D4" s="12"/>
      <c r="E4" s="1"/>
      <c r="F4" s="1" t="s">
        <v>5</v>
      </c>
      <c r="G4" s="4">
        <v>155</v>
      </c>
      <c r="H4" s="12"/>
      <c r="I4" s="1"/>
      <c r="J4" s="1" t="s">
        <v>5</v>
      </c>
      <c r="K4" s="4">
        <v>155</v>
      </c>
      <c r="L4" s="12"/>
      <c r="M4" s="1"/>
      <c r="N4" s="1" t="s">
        <v>5</v>
      </c>
      <c r="O4" s="4">
        <v>155</v>
      </c>
      <c r="P4" s="12"/>
    </row>
    <row r="5" spans="1:16">
      <c r="A5" s="1"/>
      <c r="B5" s="1" t="s">
        <v>6</v>
      </c>
      <c r="C5" s="4">
        <v>110</v>
      </c>
      <c r="D5" s="12"/>
      <c r="E5" s="1"/>
      <c r="F5" s="1" t="s">
        <v>6</v>
      </c>
      <c r="G5" s="4">
        <v>110</v>
      </c>
      <c r="H5" s="12"/>
      <c r="I5" s="1"/>
      <c r="J5" s="1" t="s">
        <v>6</v>
      </c>
      <c r="K5" s="4">
        <v>110</v>
      </c>
      <c r="L5" s="12"/>
      <c r="M5" s="1"/>
      <c r="N5" s="1" t="s">
        <v>6</v>
      </c>
      <c r="O5" s="4">
        <v>110</v>
      </c>
      <c r="P5" s="12"/>
    </row>
    <row r="6" spans="1:16">
      <c r="A6" s="1"/>
      <c r="B6" s="1" t="s">
        <v>7</v>
      </c>
      <c r="C6" s="4">
        <f>(C8*6%)</f>
        <v>1439.94</v>
      </c>
      <c r="D6" s="12"/>
      <c r="E6" s="1"/>
      <c r="F6" s="1" t="s">
        <v>7</v>
      </c>
      <c r="G6" s="4">
        <f>(G8*6%)</f>
        <v>1019.6999999999999</v>
      </c>
      <c r="H6" s="12"/>
      <c r="I6" s="1"/>
      <c r="J6" s="1" t="s">
        <v>7</v>
      </c>
      <c r="K6" s="4">
        <f>(K8*6%)</f>
        <v>899.93999999999994</v>
      </c>
      <c r="L6" s="12"/>
      <c r="M6" s="1"/>
      <c r="N6" s="1" t="s">
        <v>7</v>
      </c>
      <c r="O6" s="4">
        <f>(O8*6%)</f>
        <v>539.93999999999994</v>
      </c>
      <c r="P6" s="12"/>
    </row>
    <row r="7" spans="1:16">
      <c r="A7" s="1"/>
      <c r="B7" s="2" t="s">
        <v>8</v>
      </c>
      <c r="C7" s="4">
        <f>SUM(C2:C6)</f>
        <v>11474.94</v>
      </c>
      <c r="D7" s="12"/>
      <c r="E7" s="1"/>
      <c r="F7" s="2" t="s">
        <v>8</v>
      </c>
      <c r="G7" s="4">
        <f>SUM(G2:G6)</f>
        <v>8334.7000000000007</v>
      </c>
      <c r="H7" s="12"/>
      <c r="I7" s="1"/>
      <c r="J7" s="2" t="s">
        <v>8</v>
      </c>
      <c r="K7" s="4">
        <f>SUM(K2:K6)</f>
        <v>7614.94</v>
      </c>
      <c r="L7" s="12"/>
      <c r="M7" s="1"/>
      <c r="N7" s="2" t="s">
        <v>8</v>
      </c>
      <c r="O7" s="4">
        <f>SUM(O2:O6)</f>
        <v>5039.9399999999996</v>
      </c>
      <c r="P7" s="12"/>
    </row>
    <row r="8" spans="1:16">
      <c r="A8" s="1"/>
      <c r="B8" s="17" t="s">
        <v>9</v>
      </c>
      <c r="C8" s="18">
        <v>23999</v>
      </c>
      <c r="D8" s="12"/>
      <c r="E8" s="1"/>
      <c r="F8" s="17" t="s">
        <v>9</v>
      </c>
      <c r="G8" s="18">
        <v>16995</v>
      </c>
      <c r="H8" s="12"/>
      <c r="I8" s="1"/>
      <c r="J8" s="17" t="s">
        <v>9</v>
      </c>
      <c r="K8" s="18">
        <v>14999</v>
      </c>
      <c r="L8" s="12"/>
      <c r="M8" s="1"/>
      <c r="N8" s="17" t="s">
        <v>9</v>
      </c>
      <c r="O8" s="18">
        <v>8999</v>
      </c>
      <c r="P8" s="12"/>
    </row>
    <row r="9" spans="1:16">
      <c r="A9" s="22" t="s">
        <v>10</v>
      </c>
      <c r="B9" s="3">
        <f>C9/C8</f>
        <v>0.52185757739905825</v>
      </c>
      <c r="C9" s="6">
        <f>(C8-C7)</f>
        <v>12524.06</v>
      </c>
      <c r="D9" s="12"/>
      <c r="E9" s="22" t="s">
        <v>10</v>
      </c>
      <c r="F9" s="3">
        <f>G9/G8</f>
        <v>0.50957928802588992</v>
      </c>
      <c r="G9" s="6">
        <f>(G8-G7)</f>
        <v>8660.2999999999993</v>
      </c>
      <c r="H9" s="12"/>
      <c r="I9" s="22" t="s">
        <v>10</v>
      </c>
      <c r="J9" s="3">
        <f>K9/K8</f>
        <v>0.49230348689912662</v>
      </c>
      <c r="K9" s="6">
        <f>(K8-K7)</f>
        <v>7384.06</v>
      </c>
      <c r="L9" s="12"/>
      <c r="M9" s="22" t="s">
        <v>10</v>
      </c>
      <c r="N9" s="3">
        <f>O9/O8</f>
        <v>0.43994443827091906</v>
      </c>
      <c r="O9" s="6">
        <f>(O8-O7)</f>
        <v>3959.0600000000004</v>
      </c>
      <c r="P9" s="12"/>
    </row>
    <row r="10" spans="1:16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>
      <c r="A11" s="15" t="s">
        <v>30</v>
      </c>
      <c r="B11" s="1" t="s">
        <v>1</v>
      </c>
      <c r="C11" s="4">
        <v>8545</v>
      </c>
      <c r="D11" s="12"/>
      <c r="E11" s="15" t="s">
        <v>31</v>
      </c>
      <c r="F11" s="1" t="s">
        <v>1</v>
      </c>
      <c r="G11" s="4">
        <v>6500</v>
      </c>
      <c r="H11" s="12"/>
      <c r="I11" s="15" t="s">
        <v>32</v>
      </c>
      <c r="J11" s="1" t="s">
        <v>1</v>
      </c>
      <c r="K11" s="4">
        <v>4995</v>
      </c>
      <c r="L11" s="12"/>
      <c r="M11" s="15" t="s">
        <v>33</v>
      </c>
      <c r="N11" s="1" t="s">
        <v>1</v>
      </c>
      <c r="O11" s="4">
        <v>3365</v>
      </c>
      <c r="P11" s="12"/>
    </row>
    <row r="12" spans="1:16">
      <c r="A12" s="1"/>
      <c r="B12" s="1" t="s">
        <v>4</v>
      </c>
      <c r="C12" s="4">
        <v>550</v>
      </c>
      <c r="D12" s="12"/>
      <c r="E12" s="1"/>
      <c r="F12" s="1" t="s">
        <v>4</v>
      </c>
      <c r="G12" s="4">
        <v>550</v>
      </c>
      <c r="H12" s="12"/>
      <c r="I12" s="1"/>
      <c r="J12" s="1" t="s">
        <v>4</v>
      </c>
      <c r="K12" s="4">
        <v>550</v>
      </c>
      <c r="L12" s="12"/>
      <c r="M12" s="1"/>
      <c r="N12" s="1" t="s">
        <v>4</v>
      </c>
      <c r="O12" s="4">
        <v>550</v>
      </c>
      <c r="P12" s="12"/>
    </row>
    <row r="13" spans="1:16">
      <c r="A13" s="1"/>
      <c r="B13" s="1" t="s">
        <v>5</v>
      </c>
      <c r="C13" s="4">
        <v>155</v>
      </c>
      <c r="D13" s="12"/>
      <c r="E13" s="1"/>
      <c r="F13" s="1" t="s">
        <v>5</v>
      </c>
      <c r="G13" s="4">
        <v>155</v>
      </c>
      <c r="H13" s="12"/>
      <c r="I13" s="1"/>
      <c r="J13" s="1" t="s">
        <v>5</v>
      </c>
      <c r="K13" s="4">
        <v>155</v>
      </c>
      <c r="L13" s="12"/>
      <c r="M13" s="1"/>
      <c r="N13" s="1" t="s">
        <v>5</v>
      </c>
      <c r="O13" s="4">
        <v>155</v>
      </c>
      <c r="P13" s="12"/>
    </row>
    <row r="14" spans="1:16">
      <c r="A14" s="1"/>
      <c r="B14" s="1" t="s">
        <v>6</v>
      </c>
      <c r="C14" s="4">
        <v>110</v>
      </c>
      <c r="D14" s="12"/>
      <c r="E14" s="1"/>
      <c r="F14" s="1" t="s">
        <v>6</v>
      </c>
      <c r="G14" s="4">
        <v>110</v>
      </c>
      <c r="H14" s="12"/>
      <c r="I14" s="1"/>
      <c r="J14" s="1" t="s">
        <v>6</v>
      </c>
      <c r="K14" s="4">
        <v>110</v>
      </c>
      <c r="L14" s="12"/>
      <c r="M14" s="1"/>
      <c r="N14" s="1" t="s">
        <v>6</v>
      </c>
      <c r="O14" s="4">
        <v>110</v>
      </c>
      <c r="P14" s="12"/>
    </row>
    <row r="15" spans="1:16">
      <c r="A15" s="1"/>
      <c r="B15" s="1" t="s">
        <v>7</v>
      </c>
      <c r="C15" s="4">
        <f>(C17*6%)</f>
        <v>1199.7</v>
      </c>
      <c r="D15" s="12"/>
      <c r="E15" s="1"/>
      <c r="F15" s="1" t="s">
        <v>7</v>
      </c>
      <c r="G15" s="4">
        <f>(G17*6%)</f>
        <v>1019.6999999999999</v>
      </c>
      <c r="H15" s="12"/>
      <c r="I15" s="1"/>
      <c r="J15" s="1" t="s">
        <v>7</v>
      </c>
      <c r="K15" s="4">
        <f>(K17*6%)</f>
        <v>779.69999999999993</v>
      </c>
      <c r="L15" s="12"/>
      <c r="M15" s="1"/>
      <c r="N15" s="1" t="s">
        <v>7</v>
      </c>
      <c r="O15" s="4">
        <f>(O17*6%)</f>
        <v>509.94</v>
      </c>
      <c r="P15" s="12"/>
    </row>
    <row r="16" spans="1:16">
      <c r="A16" s="1"/>
      <c r="B16" s="2" t="s">
        <v>8</v>
      </c>
      <c r="C16" s="4">
        <f>SUM(C11:C15)</f>
        <v>10559.7</v>
      </c>
      <c r="D16" s="12"/>
      <c r="E16" s="1"/>
      <c r="F16" s="2" t="s">
        <v>8</v>
      </c>
      <c r="G16" s="4">
        <f>SUM(G11:G15)</f>
        <v>8334.7000000000007</v>
      </c>
      <c r="H16" s="12"/>
      <c r="I16" s="1"/>
      <c r="J16" s="2" t="s">
        <v>8</v>
      </c>
      <c r="K16" s="4">
        <f>SUM(K11:K15)</f>
        <v>6589.7</v>
      </c>
      <c r="L16" s="12"/>
      <c r="M16" s="1"/>
      <c r="N16" s="2" t="s">
        <v>8</v>
      </c>
      <c r="O16" s="4">
        <f>SUM(O11:O15)</f>
        <v>4689.9399999999996</v>
      </c>
      <c r="P16" s="12"/>
    </row>
    <row r="17" spans="1:16">
      <c r="A17" s="1"/>
      <c r="B17" s="17" t="s">
        <v>9</v>
      </c>
      <c r="C17" s="18">
        <v>19995</v>
      </c>
      <c r="D17" s="12"/>
      <c r="E17" s="1"/>
      <c r="F17" s="17" t="s">
        <v>9</v>
      </c>
      <c r="G17" s="18">
        <v>16995</v>
      </c>
      <c r="H17" s="12"/>
      <c r="I17" s="1"/>
      <c r="J17" s="17" t="s">
        <v>9</v>
      </c>
      <c r="K17" s="18">
        <v>12995</v>
      </c>
      <c r="L17" s="12"/>
      <c r="M17" s="1"/>
      <c r="N17" s="17" t="s">
        <v>9</v>
      </c>
      <c r="O17" s="18">
        <v>8499</v>
      </c>
      <c r="P17" s="12"/>
    </row>
    <row r="18" spans="1:16">
      <c r="A18" s="22" t="s">
        <v>10</v>
      </c>
      <c r="B18" s="3">
        <f>C18/C17</f>
        <v>0.47188297074268565</v>
      </c>
      <c r="C18" s="6">
        <f>(C17-C16)</f>
        <v>9435.2999999999993</v>
      </c>
      <c r="D18" s="12"/>
      <c r="E18" s="22" t="s">
        <v>10</v>
      </c>
      <c r="F18" s="3">
        <f>G18/G17</f>
        <v>0.50957928802588992</v>
      </c>
      <c r="G18" s="6">
        <f>(G17-G16)</f>
        <v>8660.2999999999993</v>
      </c>
      <c r="H18" s="12"/>
      <c r="I18" s="22" t="s">
        <v>10</v>
      </c>
      <c r="J18" s="3">
        <f>K18/K17</f>
        <v>0.4929049634474798</v>
      </c>
      <c r="K18" s="6">
        <f>(K17-K16)</f>
        <v>6405.3</v>
      </c>
      <c r="L18" s="12"/>
      <c r="M18" s="22" t="s">
        <v>10</v>
      </c>
      <c r="N18" s="3">
        <f>O18/O17</f>
        <v>0.44817743263913407</v>
      </c>
      <c r="O18" s="6">
        <f>(O17-O16)</f>
        <v>3809.0600000000004</v>
      </c>
      <c r="P18" s="12"/>
    </row>
    <row r="19" spans="1:1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>
      <c r="A20" s="15" t="s">
        <v>34</v>
      </c>
      <c r="B20" s="1" t="s">
        <v>1</v>
      </c>
      <c r="C20" s="4">
        <v>8545</v>
      </c>
      <c r="D20" s="12"/>
      <c r="E20" s="15" t="s">
        <v>35</v>
      </c>
      <c r="F20" s="1" t="s">
        <v>1</v>
      </c>
      <c r="G20" s="4">
        <v>6225</v>
      </c>
      <c r="H20" s="12"/>
      <c r="I20" s="15" t="s">
        <v>36</v>
      </c>
      <c r="J20" s="1" t="s">
        <v>1</v>
      </c>
      <c r="K20" s="4">
        <v>4995</v>
      </c>
      <c r="L20" s="12"/>
      <c r="M20" s="15" t="s">
        <v>37</v>
      </c>
      <c r="N20" s="1" t="s">
        <v>1</v>
      </c>
      <c r="O20" s="4">
        <v>2990</v>
      </c>
      <c r="P20" s="12"/>
    </row>
    <row r="21" spans="1:16">
      <c r="A21" s="1"/>
      <c r="B21" s="1" t="s">
        <v>4</v>
      </c>
      <c r="C21" s="4">
        <v>550</v>
      </c>
      <c r="D21" s="12"/>
      <c r="E21" s="1"/>
      <c r="F21" s="1" t="s">
        <v>4</v>
      </c>
      <c r="G21" s="4">
        <v>550</v>
      </c>
      <c r="H21" s="12"/>
      <c r="I21" s="1"/>
      <c r="J21" s="1" t="s">
        <v>4</v>
      </c>
      <c r="K21" s="4">
        <v>550</v>
      </c>
      <c r="L21" s="12"/>
      <c r="M21" s="1"/>
      <c r="N21" s="1" t="s">
        <v>4</v>
      </c>
      <c r="O21" s="4">
        <v>550</v>
      </c>
      <c r="P21" s="12"/>
    </row>
    <row r="22" spans="1:16">
      <c r="A22" s="1"/>
      <c r="B22" s="1" t="s">
        <v>5</v>
      </c>
      <c r="C22" s="4">
        <v>155</v>
      </c>
      <c r="D22" s="12"/>
      <c r="E22" s="1"/>
      <c r="F22" s="1" t="s">
        <v>5</v>
      </c>
      <c r="G22" s="4">
        <v>155</v>
      </c>
      <c r="H22" s="12"/>
      <c r="I22" s="1"/>
      <c r="J22" s="1" t="s">
        <v>5</v>
      </c>
      <c r="K22" s="4">
        <v>155</v>
      </c>
      <c r="L22" s="12"/>
      <c r="M22" s="1"/>
      <c r="N22" s="1" t="s">
        <v>5</v>
      </c>
      <c r="O22" s="4">
        <v>155</v>
      </c>
      <c r="P22" s="12"/>
    </row>
    <row r="23" spans="1:16">
      <c r="A23" s="1"/>
      <c r="B23" s="1" t="s">
        <v>6</v>
      </c>
      <c r="C23" s="4">
        <v>110</v>
      </c>
      <c r="D23" s="12"/>
      <c r="E23" s="1"/>
      <c r="F23" s="1" t="s">
        <v>6</v>
      </c>
      <c r="G23" s="4">
        <v>110</v>
      </c>
      <c r="H23" s="12"/>
      <c r="I23" s="1"/>
      <c r="J23" s="1" t="s">
        <v>6</v>
      </c>
      <c r="K23" s="4">
        <v>110</v>
      </c>
      <c r="L23" s="12"/>
      <c r="M23" s="1"/>
      <c r="N23" s="1" t="s">
        <v>6</v>
      </c>
      <c r="O23" s="4">
        <v>110</v>
      </c>
      <c r="P23" s="12"/>
    </row>
    <row r="24" spans="1:16">
      <c r="A24" s="1"/>
      <c r="B24" s="1" t="s">
        <v>7</v>
      </c>
      <c r="C24" s="4">
        <f>(C26*6%)</f>
        <v>1199.7</v>
      </c>
      <c r="D24" s="12"/>
      <c r="E24" s="1"/>
      <c r="F24" s="1" t="s">
        <v>7</v>
      </c>
      <c r="G24" s="4">
        <f>(G26*6%)</f>
        <v>959.69999999999993</v>
      </c>
      <c r="H24" s="12"/>
      <c r="I24" s="1"/>
      <c r="J24" s="1" t="s">
        <v>7</v>
      </c>
      <c r="K24" s="4">
        <f>(K26*6%)</f>
        <v>779.69999999999993</v>
      </c>
      <c r="L24" s="12"/>
      <c r="M24" s="1"/>
      <c r="N24" s="1" t="s">
        <v>7</v>
      </c>
      <c r="O24" s="4">
        <f>(O26*6%)</f>
        <v>419.7</v>
      </c>
      <c r="P24" s="12"/>
    </row>
    <row r="25" spans="1:16">
      <c r="A25" s="1"/>
      <c r="B25" s="2" t="s">
        <v>8</v>
      </c>
      <c r="C25" s="4">
        <f>SUM(C20:C24)</f>
        <v>10559.7</v>
      </c>
      <c r="D25" s="12"/>
      <c r="E25" s="1"/>
      <c r="F25" s="2" t="s">
        <v>8</v>
      </c>
      <c r="G25" s="4">
        <f>SUM(G20:G24)</f>
        <v>7999.7</v>
      </c>
      <c r="H25" s="12"/>
      <c r="I25" s="1"/>
      <c r="J25" s="2" t="s">
        <v>8</v>
      </c>
      <c r="K25" s="4">
        <f>SUM(K20:K24)</f>
        <v>6589.7</v>
      </c>
      <c r="L25" s="12"/>
      <c r="M25" s="1"/>
      <c r="N25" s="2" t="s">
        <v>8</v>
      </c>
      <c r="O25" s="4">
        <f>SUM(O20:O24)</f>
        <v>4224.7</v>
      </c>
      <c r="P25" s="12"/>
    </row>
    <row r="26" spans="1:16">
      <c r="A26" s="1"/>
      <c r="B26" s="17" t="s">
        <v>9</v>
      </c>
      <c r="C26" s="18">
        <v>19995</v>
      </c>
      <c r="D26" s="12"/>
      <c r="E26" s="1"/>
      <c r="F26" s="17" t="s">
        <v>9</v>
      </c>
      <c r="G26" s="18">
        <v>15995</v>
      </c>
      <c r="H26" s="12"/>
      <c r="I26" s="1"/>
      <c r="J26" s="17" t="s">
        <v>9</v>
      </c>
      <c r="K26" s="18">
        <v>12995</v>
      </c>
      <c r="L26" s="12"/>
      <c r="M26" s="1"/>
      <c r="N26" s="17" t="s">
        <v>9</v>
      </c>
      <c r="O26" s="18">
        <v>6995</v>
      </c>
      <c r="P26" s="12"/>
    </row>
    <row r="27" spans="1:16">
      <c r="A27" s="22" t="s">
        <v>10</v>
      </c>
      <c r="B27" s="3">
        <f>C27/C26</f>
        <v>0.47188297074268565</v>
      </c>
      <c r="C27" s="6">
        <f>(C26-C25)</f>
        <v>9435.2999999999993</v>
      </c>
      <c r="D27" s="12"/>
      <c r="E27" s="22" t="s">
        <v>10</v>
      </c>
      <c r="F27" s="3">
        <f>G27/G26</f>
        <v>0.49986245701781806</v>
      </c>
      <c r="G27" s="6">
        <f>(G26-G25)</f>
        <v>7995.3</v>
      </c>
      <c r="H27" s="12"/>
      <c r="I27" s="22" t="s">
        <v>10</v>
      </c>
      <c r="J27" s="3">
        <f>K27/K26</f>
        <v>0.4929049634474798</v>
      </c>
      <c r="K27" s="6">
        <f>(K26-K25)</f>
        <v>6405.3</v>
      </c>
      <c r="L27" s="12"/>
      <c r="M27" s="22" t="s">
        <v>10</v>
      </c>
      <c r="N27" s="19">
        <f>O27/O26</f>
        <v>0.39604002859185133</v>
      </c>
      <c r="O27" s="6">
        <f>(O26-O25)</f>
        <v>2770.3</v>
      </c>
      <c r="P27" s="12"/>
    </row>
    <row r="28" spans="1:16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>
      <c r="A29" s="15" t="s">
        <v>38</v>
      </c>
      <c r="B29" s="1" t="s">
        <v>1</v>
      </c>
      <c r="C29" s="4">
        <v>8115</v>
      </c>
      <c r="D29" s="12"/>
      <c r="E29" s="15" t="s">
        <v>39</v>
      </c>
      <c r="F29" s="1" t="s">
        <v>1</v>
      </c>
      <c r="G29" s="4">
        <v>6225</v>
      </c>
      <c r="H29" s="12"/>
      <c r="I29" s="15" t="s">
        <v>40</v>
      </c>
      <c r="J29" s="1" t="s">
        <v>1</v>
      </c>
      <c r="K29" s="4">
        <v>4485</v>
      </c>
      <c r="L29" s="12"/>
      <c r="M29" s="15" t="s">
        <v>41</v>
      </c>
      <c r="N29" s="1" t="s">
        <v>1</v>
      </c>
      <c r="O29" s="4">
        <v>2765</v>
      </c>
      <c r="P29" s="12"/>
    </row>
    <row r="30" spans="1:16">
      <c r="A30" s="1"/>
      <c r="B30" s="1" t="s">
        <v>4</v>
      </c>
      <c r="C30" s="4">
        <v>550</v>
      </c>
      <c r="D30" s="12"/>
      <c r="E30" s="1"/>
      <c r="F30" s="1" t="s">
        <v>4</v>
      </c>
      <c r="G30" s="4">
        <v>550</v>
      </c>
      <c r="H30" s="12"/>
      <c r="I30" s="1"/>
      <c r="J30" s="1" t="s">
        <v>4</v>
      </c>
      <c r="K30" s="4">
        <v>550</v>
      </c>
      <c r="L30" s="12"/>
      <c r="M30" s="1"/>
      <c r="N30" s="1" t="s">
        <v>4</v>
      </c>
      <c r="O30" s="4">
        <v>550</v>
      </c>
      <c r="P30" s="12"/>
    </row>
    <row r="31" spans="1:16">
      <c r="A31" s="1"/>
      <c r="B31" s="1" t="s">
        <v>5</v>
      </c>
      <c r="C31" s="4">
        <v>155</v>
      </c>
      <c r="D31" s="12"/>
      <c r="E31" s="1"/>
      <c r="F31" s="1" t="s">
        <v>5</v>
      </c>
      <c r="G31" s="4">
        <v>155</v>
      </c>
      <c r="H31" s="12"/>
      <c r="I31" s="1"/>
      <c r="J31" s="1" t="s">
        <v>5</v>
      </c>
      <c r="K31" s="4">
        <v>155</v>
      </c>
      <c r="L31" s="12"/>
      <c r="M31" s="1"/>
      <c r="N31" s="1" t="s">
        <v>5</v>
      </c>
      <c r="O31" s="4">
        <v>155</v>
      </c>
      <c r="P31" s="12"/>
    </row>
    <row r="32" spans="1:16">
      <c r="A32" s="1"/>
      <c r="B32" s="1" t="s">
        <v>6</v>
      </c>
      <c r="C32" s="4">
        <v>110</v>
      </c>
      <c r="D32" s="12"/>
      <c r="E32" s="1"/>
      <c r="F32" s="1" t="s">
        <v>6</v>
      </c>
      <c r="G32" s="4">
        <v>110</v>
      </c>
      <c r="H32" s="12"/>
      <c r="I32" s="1"/>
      <c r="J32" s="1" t="s">
        <v>6</v>
      </c>
      <c r="K32" s="4">
        <v>110</v>
      </c>
      <c r="L32" s="12"/>
      <c r="M32" s="1"/>
      <c r="N32" s="1" t="s">
        <v>6</v>
      </c>
      <c r="O32" s="4">
        <v>110</v>
      </c>
      <c r="P32" s="12"/>
    </row>
    <row r="33" spans="1:16">
      <c r="A33" s="1"/>
      <c r="B33" s="1" t="s">
        <v>7</v>
      </c>
      <c r="C33" s="4">
        <f>(C35*6%)</f>
        <v>1139.7</v>
      </c>
      <c r="D33" s="12"/>
      <c r="E33" s="1"/>
      <c r="F33" s="1" t="s">
        <v>7</v>
      </c>
      <c r="G33" s="4">
        <f>(G35*6%)</f>
        <v>959.69999999999993</v>
      </c>
      <c r="H33" s="12"/>
      <c r="I33" s="1"/>
      <c r="J33" s="1" t="s">
        <v>7</v>
      </c>
      <c r="K33" s="4">
        <f>(K35*6%)</f>
        <v>719.69999999999993</v>
      </c>
      <c r="L33" s="12"/>
      <c r="M33" s="1"/>
      <c r="N33" s="1" t="s">
        <v>7</v>
      </c>
      <c r="O33" s="4">
        <f>(O35*6%)</f>
        <v>389.7</v>
      </c>
      <c r="P33" s="12"/>
    </row>
    <row r="34" spans="1:16">
      <c r="A34" s="1"/>
      <c r="B34" s="2" t="s">
        <v>8</v>
      </c>
      <c r="C34" s="4">
        <f>SUM(C29:C33)</f>
        <v>10069.700000000001</v>
      </c>
      <c r="D34" s="12"/>
      <c r="E34" s="1"/>
      <c r="F34" s="2" t="s">
        <v>8</v>
      </c>
      <c r="G34" s="4">
        <f>SUM(G29:G33)</f>
        <v>7999.7</v>
      </c>
      <c r="H34" s="12"/>
      <c r="I34" s="1"/>
      <c r="J34" s="2" t="s">
        <v>8</v>
      </c>
      <c r="K34" s="4">
        <f>SUM(K29:K33)</f>
        <v>6019.7</v>
      </c>
      <c r="L34" s="12"/>
      <c r="M34" s="1"/>
      <c r="N34" s="2" t="s">
        <v>8</v>
      </c>
      <c r="O34" s="4">
        <f>SUM(O29:O33)</f>
        <v>3969.7</v>
      </c>
      <c r="P34" s="12"/>
    </row>
    <row r="35" spans="1:16">
      <c r="A35" s="1"/>
      <c r="B35" s="17" t="s">
        <v>9</v>
      </c>
      <c r="C35" s="18">
        <v>18995</v>
      </c>
      <c r="D35" s="12"/>
      <c r="E35" s="1"/>
      <c r="F35" s="17" t="s">
        <v>9</v>
      </c>
      <c r="G35" s="18">
        <v>15995</v>
      </c>
      <c r="H35" s="12"/>
      <c r="I35" s="1"/>
      <c r="J35" s="17" t="s">
        <v>9</v>
      </c>
      <c r="K35" s="18">
        <v>11995</v>
      </c>
      <c r="L35" s="12"/>
      <c r="M35" s="1"/>
      <c r="N35" s="17" t="s">
        <v>9</v>
      </c>
      <c r="O35" s="18">
        <v>6495</v>
      </c>
      <c r="P35" s="12"/>
    </row>
    <row r="36" spans="1:16">
      <c r="A36" s="22" t="s">
        <v>10</v>
      </c>
      <c r="B36" s="3">
        <f>C36/C35</f>
        <v>0.46987628323242953</v>
      </c>
      <c r="C36" s="6">
        <f>(C35-C34)</f>
        <v>8925.2999999999993</v>
      </c>
      <c r="D36" s="12"/>
      <c r="E36" s="22" t="s">
        <v>10</v>
      </c>
      <c r="F36" s="3">
        <f>G36/G35</f>
        <v>0.49986245701781806</v>
      </c>
      <c r="G36" s="6">
        <f>(G35-G34)</f>
        <v>7995.3</v>
      </c>
      <c r="H36" s="12"/>
      <c r="I36" s="22" t="s">
        <v>10</v>
      </c>
      <c r="J36" s="3">
        <f>K36/K35</f>
        <v>0.49814922884535223</v>
      </c>
      <c r="K36" s="6">
        <f>(K35-K34)</f>
        <v>5975.3</v>
      </c>
      <c r="L36" s="12"/>
      <c r="M36" s="22" t="s">
        <v>10</v>
      </c>
      <c r="N36" s="3">
        <f>O36/O35</f>
        <v>0.38880677444187839</v>
      </c>
      <c r="O36" s="6">
        <f>(O35-O34)</f>
        <v>2525.3000000000002</v>
      </c>
      <c r="P36" s="12"/>
    </row>
    <row r="37" spans="1:1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>
      <c r="D38" s="12"/>
      <c r="E38" s="15" t="s">
        <v>42</v>
      </c>
      <c r="F38" s="1" t="s">
        <v>1</v>
      </c>
      <c r="G38" s="4">
        <v>5785</v>
      </c>
      <c r="H38" s="12"/>
      <c r="I38" s="15" t="s">
        <v>43</v>
      </c>
      <c r="J38" s="1" t="s">
        <v>1</v>
      </c>
      <c r="K38" s="4">
        <v>4485</v>
      </c>
      <c r="L38" s="12"/>
      <c r="M38" s="15" t="s">
        <v>44</v>
      </c>
      <c r="N38" s="1" t="s">
        <v>1</v>
      </c>
      <c r="O38" s="4">
        <v>2445</v>
      </c>
      <c r="P38" s="12"/>
    </row>
    <row r="39" spans="1:16">
      <c r="D39" s="12"/>
      <c r="E39" s="1"/>
      <c r="F39" s="1" t="s">
        <v>4</v>
      </c>
      <c r="G39" s="4">
        <v>550</v>
      </c>
      <c r="H39" s="12"/>
      <c r="I39" s="1"/>
      <c r="J39" s="1" t="s">
        <v>4</v>
      </c>
      <c r="K39" s="4">
        <v>550</v>
      </c>
      <c r="L39" s="12"/>
      <c r="M39" s="1"/>
      <c r="N39" s="1" t="s">
        <v>4</v>
      </c>
      <c r="O39" s="4">
        <v>550</v>
      </c>
      <c r="P39" s="12"/>
    </row>
    <row r="40" spans="1:16">
      <c r="D40" s="12"/>
      <c r="E40" s="1"/>
      <c r="F40" s="1" t="s">
        <v>5</v>
      </c>
      <c r="G40" s="4">
        <v>155</v>
      </c>
      <c r="H40" s="12"/>
      <c r="I40" s="1"/>
      <c r="J40" s="1" t="s">
        <v>5</v>
      </c>
      <c r="K40" s="4">
        <v>155</v>
      </c>
      <c r="L40" s="12"/>
      <c r="M40" s="1"/>
      <c r="N40" s="1" t="s">
        <v>5</v>
      </c>
      <c r="O40" s="4">
        <v>155</v>
      </c>
      <c r="P40" s="12"/>
    </row>
    <row r="41" spans="1:16">
      <c r="D41" s="12"/>
      <c r="E41" s="1"/>
      <c r="F41" s="1" t="s">
        <v>6</v>
      </c>
      <c r="G41" s="4">
        <v>110</v>
      </c>
      <c r="H41" s="12"/>
      <c r="I41" s="1"/>
      <c r="J41" s="1" t="s">
        <v>6</v>
      </c>
      <c r="K41" s="4">
        <v>110</v>
      </c>
      <c r="L41" s="12"/>
      <c r="M41" s="1"/>
      <c r="N41" s="1" t="s">
        <v>6</v>
      </c>
      <c r="O41" s="4">
        <v>110</v>
      </c>
      <c r="P41" s="12"/>
    </row>
    <row r="42" spans="1:16">
      <c r="D42" s="12"/>
      <c r="E42" s="1"/>
      <c r="F42" s="1" t="s">
        <v>7</v>
      </c>
      <c r="G42" s="4">
        <f>(G44*6%)</f>
        <v>839.93999999999994</v>
      </c>
      <c r="H42" s="12"/>
      <c r="I42" s="1"/>
      <c r="J42" s="1" t="s">
        <v>7</v>
      </c>
      <c r="K42" s="4">
        <f>(K44*6%)</f>
        <v>719.69999999999993</v>
      </c>
      <c r="L42" s="12"/>
      <c r="M42" s="1"/>
      <c r="N42" s="1" t="s">
        <v>7</v>
      </c>
      <c r="O42" s="4">
        <f>(O44*6%)</f>
        <v>359.94</v>
      </c>
      <c r="P42" s="12"/>
    </row>
    <row r="43" spans="1:16">
      <c r="D43" s="12"/>
      <c r="E43" s="1"/>
      <c r="F43" s="2" t="s">
        <v>8</v>
      </c>
      <c r="G43" s="4">
        <f>SUM(G38:G42)</f>
        <v>7439.94</v>
      </c>
      <c r="H43" s="12"/>
      <c r="I43" s="1"/>
      <c r="J43" s="2" t="s">
        <v>8</v>
      </c>
      <c r="K43" s="4">
        <f>SUM(K38:K42)</f>
        <v>6019.7</v>
      </c>
      <c r="L43" s="12"/>
      <c r="M43" s="1"/>
      <c r="N43" s="2" t="s">
        <v>8</v>
      </c>
      <c r="O43" s="4">
        <f>SUM(O38:O42)</f>
        <v>3619.94</v>
      </c>
      <c r="P43" s="12"/>
    </row>
    <row r="44" spans="1:16">
      <c r="D44" s="12"/>
      <c r="E44" s="1"/>
      <c r="F44" s="17" t="s">
        <v>9</v>
      </c>
      <c r="G44" s="18">
        <v>13999</v>
      </c>
      <c r="H44" s="12"/>
      <c r="I44" s="1"/>
      <c r="J44" s="17" t="s">
        <v>9</v>
      </c>
      <c r="K44" s="18">
        <v>11995</v>
      </c>
      <c r="L44" s="12"/>
      <c r="M44" s="1"/>
      <c r="N44" s="17" t="s">
        <v>9</v>
      </c>
      <c r="O44" s="18">
        <v>5999</v>
      </c>
      <c r="P44" s="12"/>
    </row>
    <row r="45" spans="1:16">
      <c r="D45" s="12"/>
      <c r="E45" s="22" t="s">
        <v>10</v>
      </c>
      <c r="F45" s="3">
        <f>G45/G44</f>
        <v>0.46853775269662123</v>
      </c>
      <c r="G45" s="6">
        <f>(G44-G43)</f>
        <v>6559.06</v>
      </c>
      <c r="H45" s="12"/>
      <c r="I45" s="22" t="s">
        <v>10</v>
      </c>
      <c r="J45" s="3">
        <f>K45/K44</f>
        <v>0.49814922884535223</v>
      </c>
      <c r="K45" s="6">
        <f>(K44-K43)</f>
        <v>5975.3</v>
      </c>
      <c r="L45" s="12"/>
      <c r="M45" s="22" t="s">
        <v>10</v>
      </c>
      <c r="N45" s="3">
        <f>O45/O44</f>
        <v>0.39657609601600263</v>
      </c>
      <c r="O45" s="6">
        <f>(O44-O43)</f>
        <v>2379.06</v>
      </c>
      <c r="P45" s="12"/>
    </row>
    <row r="46" spans="1:16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D47" s="12"/>
      <c r="E47" s="15" t="s">
        <v>45</v>
      </c>
      <c r="F47" s="1" t="s">
        <v>1</v>
      </c>
      <c r="G47" s="4">
        <v>5660</v>
      </c>
      <c r="H47" s="12"/>
      <c r="I47" s="15" t="s">
        <v>46</v>
      </c>
      <c r="J47" s="1" t="s">
        <v>1</v>
      </c>
      <c r="K47" s="4">
        <v>4285</v>
      </c>
      <c r="L47" s="12"/>
    </row>
    <row r="48" spans="1:16">
      <c r="D48" s="12"/>
      <c r="E48" s="1"/>
      <c r="F48" s="1" t="s">
        <v>4</v>
      </c>
      <c r="G48" s="4">
        <v>550</v>
      </c>
      <c r="H48" s="12"/>
      <c r="I48" s="1"/>
      <c r="J48" s="1" t="s">
        <v>4</v>
      </c>
      <c r="K48" s="4">
        <v>550</v>
      </c>
      <c r="L48" s="12"/>
    </row>
    <row r="49" spans="4:12">
      <c r="D49" s="12"/>
      <c r="E49" s="1"/>
      <c r="F49" s="1" t="s">
        <v>5</v>
      </c>
      <c r="G49" s="4">
        <v>155</v>
      </c>
      <c r="H49" s="12"/>
      <c r="I49" s="1"/>
      <c r="J49" s="1" t="s">
        <v>5</v>
      </c>
      <c r="K49" s="4">
        <v>155</v>
      </c>
      <c r="L49" s="12"/>
    </row>
    <row r="50" spans="4:12">
      <c r="D50" s="12"/>
      <c r="E50" s="1"/>
      <c r="F50" s="1" t="s">
        <v>6</v>
      </c>
      <c r="G50" s="4">
        <v>110</v>
      </c>
      <c r="H50" s="12"/>
      <c r="I50" s="1"/>
      <c r="J50" s="1" t="s">
        <v>6</v>
      </c>
      <c r="K50" s="4">
        <v>110</v>
      </c>
      <c r="L50" s="12"/>
    </row>
    <row r="51" spans="4:12">
      <c r="D51" s="12"/>
      <c r="E51" s="1"/>
      <c r="F51" s="1" t="s">
        <v>7</v>
      </c>
      <c r="G51" s="4">
        <f>(G53*6%)</f>
        <v>839.69999999999993</v>
      </c>
      <c r="H51" s="12"/>
      <c r="I51" s="1"/>
      <c r="J51" s="1" t="s">
        <v>7</v>
      </c>
      <c r="K51" s="4">
        <f>(K53*6%)</f>
        <v>659.69999999999993</v>
      </c>
      <c r="L51" s="12"/>
    </row>
    <row r="52" spans="4:12">
      <c r="D52" s="12"/>
      <c r="E52" s="1"/>
      <c r="F52" s="2" t="s">
        <v>8</v>
      </c>
      <c r="G52" s="4">
        <f>SUM(G47:G51)</f>
        <v>7314.7</v>
      </c>
      <c r="H52" s="12"/>
      <c r="I52" s="1"/>
      <c r="J52" s="2" t="s">
        <v>8</v>
      </c>
      <c r="K52" s="4">
        <f>SUM(K47:K51)</f>
        <v>5759.7</v>
      </c>
      <c r="L52" s="12"/>
    </row>
    <row r="53" spans="4:12">
      <c r="D53" s="12"/>
      <c r="E53" s="1"/>
      <c r="F53" s="17" t="s">
        <v>9</v>
      </c>
      <c r="G53" s="18">
        <v>13995</v>
      </c>
      <c r="H53" s="12"/>
      <c r="I53" s="1"/>
      <c r="J53" s="17" t="s">
        <v>9</v>
      </c>
      <c r="K53" s="18">
        <v>10995</v>
      </c>
      <c r="L53" s="12"/>
    </row>
    <row r="54" spans="4:12">
      <c r="D54" s="12"/>
      <c r="E54" s="22" t="s">
        <v>10</v>
      </c>
      <c r="F54" s="3">
        <f>G54/G53</f>
        <v>0.47733476241514827</v>
      </c>
      <c r="G54" s="6">
        <f>(G53-G52)</f>
        <v>6680.3</v>
      </c>
      <c r="H54" s="12"/>
      <c r="I54" s="22" t="s">
        <v>10</v>
      </c>
      <c r="J54" s="3">
        <f>K54/K53</f>
        <v>0.47615279672578448</v>
      </c>
      <c r="K54" s="6">
        <f>(K53-K52)</f>
        <v>5235.3</v>
      </c>
      <c r="L54" s="12"/>
    </row>
    <row r="55" spans="4:12">
      <c r="D55" s="12"/>
      <c r="E55" s="12"/>
      <c r="F55" s="12"/>
      <c r="G55" s="12"/>
      <c r="H55" s="12"/>
      <c r="I55" s="12"/>
      <c r="J55" s="12"/>
      <c r="K55" s="12"/>
      <c r="L55" s="12"/>
    </row>
    <row r="56" spans="4:12">
      <c r="D56" s="12"/>
      <c r="E56" s="15" t="s">
        <v>47</v>
      </c>
      <c r="F56" s="1" t="s">
        <v>1</v>
      </c>
      <c r="G56" s="4">
        <v>4630</v>
      </c>
      <c r="H56" s="12"/>
      <c r="I56" s="15" t="s">
        <v>48</v>
      </c>
      <c r="J56" s="1" t="s">
        <v>1</v>
      </c>
      <c r="K56" s="4">
        <v>4195</v>
      </c>
      <c r="L56" s="12"/>
    </row>
    <row r="57" spans="4:12">
      <c r="D57" s="12"/>
      <c r="E57" s="1"/>
      <c r="F57" s="1" t="s">
        <v>4</v>
      </c>
      <c r="G57" s="4">
        <v>550</v>
      </c>
      <c r="H57" s="12"/>
      <c r="I57" s="1"/>
      <c r="J57" s="1" t="s">
        <v>4</v>
      </c>
      <c r="K57" s="4">
        <v>550</v>
      </c>
      <c r="L57" s="12"/>
    </row>
    <row r="58" spans="4:12">
      <c r="D58" s="12"/>
      <c r="E58" s="1"/>
      <c r="F58" s="1" t="s">
        <v>5</v>
      </c>
      <c r="G58" s="4">
        <v>155</v>
      </c>
      <c r="H58" s="12"/>
      <c r="I58" s="1"/>
      <c r="J58" s="1" t="s">
        <v>5</v>
      </c>
      <c r="K58" s="4">
        <v>155</v>
      </c>
      <c r="L58" s="12"/>
    </row>
    <row r="59" spans="4:12">
      <c r="D59" s="12"/>
      <c r="E59" s="1"/>
      <c r="F59" s="1" t="s">
        <v>6</v>
      </c>
      <c r="G59" s="4">
        <v>110</v>
      </c>
      <c r="H59" s="12"/>
      <c r="I59" s="1"/>
      <c r="J59" s="1" t="s">
        <v>6</v>
      </c>
      <c r="K59" s="4">
        <v>110</v>
      </c>
      <c r="L59" s="12"/>
    </row>
    <row r="60" spans="4:12">
      <c r="D60" s="12"/>
      <c r="E60" s="1"/>
      <c r="F60" s="1" t="s">
        <v>7</v>
      </c>
      <c r="G60" s="4">
        <f>(G62*6%)</f>
        <v>719.93999999999994</v>
      </c>
      <c r="H60" s="12"/>
      <c r="I60" s="1"/>
      <c r="J60" s="1" t="s">
        <v>7</v>
      </c>
      <c r="K60" s="4">
        <f>(K62*6%)</f>
        <v>659.69999999999993</v>
      </c>
      <c r="L60" s="12"/>
    </row>
    <row r="61" spans="4:12">
      <c r="D61" s="12"/>
      <c r="E61" s="1"/>
      <c r="F61" s="2" t="s">
        <v>8</v>
      </c>
      <c r="G61" s="4">
        <f>SUM(G56:G60)</f>
        <v>6164.94</v>
      </c>
      <c r="H61" s="12"/>
      <c r="I61" s="1"/>
      <c r="J61" s="2" t="s">
        <v>8</v>
      </c>
      <c r="K61" s="4">
        <f>SUM(K56:K60)</f>
        <v>5669.7</v>
      </c>
      <c r="L61" s="12"/>
    </row>
    <row r="62" spans="4:12">
      <c r="D62" s="12"/>
      <c r="E62" s="1"/>
      <c r="F62" s="17" t="s">
        <v>9</v>
      </c>
      <c r="G62" s="18">
        <v>11999</v>
      </c>
      <c r="H62" s="12"/>
      <c r="I62" s="1"/>
      <c r="J62" s="17" t="s">
        <v>9</v>
      </c>
      <c r="K62" s="18">
        <v>10995</v>
      </c>
      <c r="L62" s="12"/>
    </row>
    <row r="63" spans="4:12">
      <c r="D63" s="12"/>
      <c r="E63" s="20" t="s">
        <v>10</v>
      </c>
      <c r="F63" s="19">
        <f>G63/G62</f>
        <v>0.48621218434869573</v>
      </c>
      <c r="G63" s="21">
        <f>(G62-G61)</f>
        <v>5834.06</v>
      </c>
      <c r="H63" s="12"/>
      <c r="I63" s="22" t="s">
        <v>10</v>
      </c>
      <c r="J63" s="3">
        <f>K63/K62</f>
        <v>0.48433833560709416</v>
      </c>
      <c r="K63" s="6">
        <f>(K62-K61)</f>
        <v>5325.3</v>
      </c>
      <c r="L63" s="12"/>
    </row>
    <row r="64" spans="4:12">
      <c r="D64" s="12"/>
      <c r="E64" s="12"/>
      <c r="F64" s="12"/>
      <c r="G64" s="12"/>
      <c r="H64" s="12"/>
      <c r="I64" s="12"/>
      <c r="J64" s="12"/>
      <c r="K64" s="12"/>
      <c r="L64" s="12"/>
    </row>
    <row r="65" spans="4:12">
      <c r="D65" s="7"/>
      <c r="E65" s="7"/>
      <c r="F65" s="7"/>
      <c r="G65" s="7"/>
      <c r="H65" s="7"/>
      <c r="I65" s="7"/>
      <c r="J65" s="7"/>
      <c r="K65" s="7"/>
      <c r="L65" s="7"/>
    </row>
  </sheetData>
  <pageMargins left="0.7" right="0.7" top="0.75" bottom="0.75" header="0.3" footer="0.3"/>
  <pageSetup scale="0" firstPageNumber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A18-D197-4D65-ABA3-E1FA5CEA83DB}">
  <sheetPr>
    <pageSetUpPr fitToPage="1"/>
  </sheetPr>
  <dimension ref="A1:H82"/>
  <sheetViews>
    <sheetView workbookViewId="0">
      <selection activeCell="I9" sqref="I9"/>
    </sheetView>
  </sheetViews>
  <sheetFormatPr defaultRowHeight="15"/>
  <cols>
    <col min="1" max="1" width="20.140625" customWidth="1"/>
    <col min="2" max="2" width="19.7109375" customWidth="1"/>
    <col min="3" max="3" width="15.5703125" customWidth="1"/>
    <col min="4" max="4" width="6.28515625" customWidth="1"/>
    <col min="5" max="5" width="19.42578125" customWidth="1"/>
    <col min="6" max="6" width="18.42578125" customWidth="1"/>
    <col min="7" max="7" width="16.28515625" customWidth="1"/>
    <col min="8" max="8" width="6.7109375" style="12" customWidth="1"/>
    <col min="9" max="9" width="21.7109375" customWidth="1"/>
    <col min="10" max="10" width="19.28515625" customWidth="1"/>
    <col min="11" max="11" width="15" customWidth="1"/>
    <col min="12" max="12" width="5.42578125" customWidth="1"/>
    <col min="13" max="13" width="20.5703125" customWidth="1"/>
    <col min="14" max="14" width="19.140625" customWidth="1"/>
    <col min="15" max="15" width="15.28515625" customWidth="1"/>
    <col min="16" max="16" width="4.5703125" customWidth="1"/>
  </cols>
  <sheetData>
    <row r="1" spans="1:7">
      <c r="A1" s="13" t="s">
        <v>49</v>
      </c>
      <c r="B1" s="12"/>
      <c r="C1" s="12"/>
      <c r="D1" s="12"/>
      <c r="E1" s="12"/>
      <c r="F1" s="12"/>
      <c r="G1" s="12"/>
    </row>
    <row r="2" spans="1:7">
      <c r="A2" s="15" t="s">
        <v>50</v>
      </c>
      <c r="B2" s="1" t="s">
        <v>1</v>
      </c>
      <c r="C2" s="4">
        <v>5300</v>
      </c>
      <c r="D2" s="12"/>
      <c r="E2" s="15" t="s">
        <v>51</v>
      </c>
      <c r="F2" s="1" t="s">
        <v>52</v>
      </c>
      <c r="G2" s="4">
        <v>3449</v>
      </c>
    </row>
    <row r="3" spans="1:7">
      <c r="A3" s="1"/>
      <c r="B3" s="1" t="s">
        <v>4</v>
      </c>
      <c r="C3" s="4">
        <v>550</v>
      </c>
      <c r="D3" s="12"/>
      <c r="E3" s="1"/>
      <c r="F3" s="1" t="s">
        <v>4</v>
      </c>
      <c r="G3" s="4">
        <v>550</v>
      </c>
    </row>
    <row r="4" spans="1:7">
      <c r="A4" s="1"/>
      <c r="B4" s="1" t="s">
        <v>5</v>
      </c>
      <c r="C4" s="4">
        <v>155</v>
      </c>
      <c r="D4" s="12"/>
      <c r="E4" s="1"/>
      <c r="F4" s="1" t="s">
        <v>5</v>
      </c>
      <c r="G4" s="4">
        <v>0</v>
      </c>
    </row>
    <row r="5" spans="1:7">
      <c r="A5" s="1"/>
      <c r="B5" s="1" t="s">
        <v>6</v>
      </c>
      <c r="C5" s="4">
        <v>110</v>
      </c>
      <c r="D5" s="12"/>
      <c r="E5" s="1"/>
      <c r="F5" s="1" t="s">
        <v>6</v>
      </c>
      <c r="G5" s="4">
        <v>0</v>
      </c>
    </row>
    <row r="6" spans="1:7">
      <c r="A6" s="1"/>
      <c r="B6" s="1" t="s">
        <v>7</v>
      </c>
      <c r="C6" s="4">
        <f>(C8*6%)</f>
        <v>1079.7</v>
      </c>
      <c r="D6" s="12"/>
      <c r="E6" s="1"/>
      <c r="F6" s="1" t="s">
        <v>7</v>
      </c>
      <c r="G6" s="4">
        <f>(G8*6%)</f>
        <v>479.7</v>
      </c>
    </row>
    <row r="7" spans="1:7">
      <c r="A7" s="1"/>
      <c r="B7" s="2" t="s">
        <v>8</v>
      </c>
      <c r="C7" s="4">
        <f>SUM(C2:C6)</f>
        <v>7194.7</v>
      </c>
      <c r="D7" s="12"/>
      <c r="E7" s="1"/>
      <c r="F7" s="2" t="s">
        <v>8</v>
      </c>
      <c r="G7" s="4">
        <f>SUM(G2:G6)</f>
        <v>4478.7</v>
      </c>
    </row>
    <row r="8" spans="1:7">
      <c r="A8" s="1"/>
      <c r="B8" s="23" t="s">
        <v>9</v>
      </c>
      <c r="C8" s="24">
        <v>17995</v>
      </c>
      <c r="D8" s="12"/>
      <c r="E8" s="1"/>
      <c r="F8" s="23" t="s">
        <v>9</v>
      </c>
      <c r="G8" s="24">
        <v>7995</v>
      </c>
    </row>
    <row r="9" spans="1:7">
      <c r="A9" s="22" t="s">
        <v>10</v>
      </c>
      <c r="B9" s="3">
        <f>C9/C8</f>
        <v>0.60018338427340923</v>
      </c>
      <c r="C9" s="6">
        <f>(C8-C7)</f>
        <v>10800.3</v>
      </c>
      <c r="D9" s="12"/>
      <c r="E9" s="22" t="s">
        <v>10</v>
      </c>
      <c r="F9" s="3">
        <f>G9/G8</f>
        <v>0.43981238273921203</v>
      </c>
      <c r="G9" s="6">
        <f>(G8-G7)</f>
        <v>3516.3</v>
      </c>
    </row>
    <row r="10" spans="1:7">
      <c r="A10" s="12"/>
      <c r="B10" s="12"/>
      <c r="C10" s="12"/>
      <c r="D10" s="12"/>
      <c r="E10" s="12"/>
      <c r="F10" s="12"/>
      <c r="G10" s="12"/>
    </row>
    <row r="11" spans="1:7">
      <c r="A11" s="15" t="s">
        <v>53</v>
      </c>
      <c r="B11" s="1" t="s">
        <v>1</v>
      </c>
      <c r="C11" s="4">
        <v>4550</v>
      </c>
      <c r="D11" s="12"/>
      <c r="E11" s="15" t="s">
        <v>54</v>
      </c>
      <c r="F11" s="1" t="s">
        <v>52</v>
      </c>
      <c r="G11" s="4">
        <v>3824</v>
      </c>
    </row>
    <row r="12" spans="1:7">
      <c r="A12" s="1"/>
      <c r="B12" s="1" t="s">
        <v>4</v>
      </c>
      <c r="C12" s="4">
        <v>550</v>
      </c>
      <c r="D12" s="12"/>
      <c r="E12" s="1"/>
      <c r="F12" s="1" t="s">
        <v>4</v>
      </c>
      <c r="G12" s="4">
        <v>550</v>
      </c>
    </row>
    <row r="13" spans="1:7">
      <c r="A13" s="1"/>
      <c r="B13" s="1" t="s">
        <v>5</v>
      </c>
      <c r="C13" s="4">
        <v>155</v>
      </c>
      <c r="D13" s="12"/>
      <c r="E13" s="1"/>
      <c r="F13" s="1" t="s">
        <v>5</v>
      </c>
      <c r="G13" s="4">
        <v>0</v>
      </c>
    </row>
    <row r="14" spans="1:7">
      <c r="A14" s="1"/>
      <c r="B14" s="1" t="s">
        <v>6</v>
      </c>
      <c r="C14" s="4">
        <v>110</v>
      </c>
      <c r="D14" s="12"/>
      <c r="E14" s="1"/>
      <c r="F14" s="1" t="s">
        <v>6</v>
      </c>
      <c r="G14" s="4">
        <v>0</v>
      </c>
    </row>
    <row r="15" spans="1:7">
      <c r="A15" s="1"/>
      <c r="B15" s="1" t="s">
        <v>7</v>
      </c>
      <c r="C15" s="4">
        <f>(C17*6%)</f>
        <v>899.69999999999993</v>
      </c>
      <c r="D15" s="12"/>
      <c r="E15" s="1"/>
      <c r="F15" s="1" t="s">
        <v>7</v>
      </c>
      <c r="G15" s="4">
        <f>(G17*6%)</f>
        <v>539.69999999999993</v>
      </c>
    </row>
    <row r="16" spans="1:7">
      <c r="A16" s="1"/>
      <c r="B16" s="2" t="s">
        <v>8</v>
      </c>
      <c r="C16" s="4">
        <f>SUM(C11:C15)</f>
        <v>6264.7</v>
      </c>
      <c r="D16" s="12"/>
      <c r="E16" s="1"/>
      <c r="F16" s="2" t="s">
        <v>8</v>
      </c>
      <c r="G16" s="4">
        <f>SUM(G11:G15)</f>
        <v>4913.7</v>
      </c>
    </row>
    <row r="17" spans="1:7">
      <c r="A17" s="1"/>
      <c r="B17" s="23" t="s">
        <v>9</v>
      </c>
      <c r="C17" s="24">
        <v>14995</v>
      </c>
      <c r="D17" s="12"/>
      <c r="E17" s="1"/>
      <c r="F17" s="23" t="s">
        <v>9</v>
      </c>
      <c r="G17" s="24">
        <v>8995</v>
      </c>
    </row>
    <row r="18" spans="1:7">
      <c r="A18" s="1" t="s">
        <v>10</v>
      </c>
      <c r="B18" s="3">
        <f>C18/C17</f>
        <v>0.582214071357119</v>
      </c>
      <c r="C18" s="6">
        <f>(C17-C16)</f>
        <v>8730.2999999999993</v>
      </c>
      <c r="D18" s="12"/>
      <c r="E18" s="22" t="s">
        <v>10</v>
      </c>
      <c r="F18" s="3">
        <f>G18/G17</f>
        <v>0.45372984991662035</v>
      </c>
      <c r="G18" s="6">
        <f>(G17-G16)</f>
        <v>4081.3</v>
      </c>
    </row>
    <row r="19" spans="1:7">
      <c r="A19" s="12"/>
      <c r="B19" s="12"/>
      <c r="C19" s="12"/>
      <c r="D19" s="12"/>
      <c r="E19" s="12"/>
      <c r="F19" s="12"/>
      <c r="G19" s="12"/>
    </row>
    <row r="20" spans="1:7">
      <c r="A20" s="15" t="s">
        <v>55</v>
      </c>
      <c r="B20" s="1" t="s">
        <v>1</v>
      </c>
      <c r="C20" s="4">
        <v>4550</v>
      </c>
      <c r="D20" s="12"/>
      <c r="E20" s="15" t="s">
        <v>56</v>
      </c>
      <c r="F20" s="1" t="s">
        <v>52</v>
      </c>
      <c r="G20" s="4">
        <v>3928</v>
      </c>
    </row>
    <row r="21" spans="1:7">
      <c r="A21" s="1"/>
      <c r="B21" s="1" t="s">
        <v>4</v>
      </c>
      <c r="C21" s="4">
        <v>550</v>
      </c>
      <c r="D21" s="12"/>
      <c r="E21" s="1"/>
      <c r="F21" s="1" t="s">
        <v>4</v>
      </c>
      <c r="G21" s="4">
        <v>550</v>
      </c>
    </row>
    <row r="22" spans="1:7">
      <c r="A22" s="1"/>
      <c r="B22" s="1" t="s">
        <v>5</v>
      </c>
      <c r="C22" s="4">
        <v>155</v>
      </c>
      <c r="D22" s="12"/>
      <c r="E22" s="1"/>
      <c r="F22" s="1" t="s">
        <v>5</v>
      </c>
      <c r="G22" s="4">
        <v>0</v>
      </c>
    </row>
    <row r="23" spans="1:7">
      <c r="A23" s="1"/>
      <c r="B23" s="1" t="s">
        <v>6</v>
      </c>
      <c r="C23" s="4">
        <v>110</v>
      </c>
      <c r="D23" s="12"/>
      <c r="E23" s="1"/>
      <c r="F23" s="1" t="s">
        <v>6</v>
      </c>
      <c r="G23" s="4">
        <v>0</v>
      </c>
    </row>
    <row r="24" spans="1:7">
      <c r="A24" s="1"/>
      <c r="B24" s="1" t="s">
        <v>7</v>
      </c>
      <c r="C24" s="4">
        <f>(C26*6%)</f>
        <v>899.69999999999993</v>
      </c>
      <c r="D24" s="12"/>
      <c r="E24" s="1"/>
      <c r="F24" s="1" t="s">
        <v>7</v>
      </c>
      <c r="G24" s="4">
        <f>(G26*6%)</f>
        <v>539.69999999999993</v>
      </c>
    </row>
    <row r="25" spans="1:7">
      <c r="A25" s="1"/>
      <c r="B25" s="2" t="s">
        <v>8</v>
      </c>
      <c r="C25" s="4">
        <f>SUM(C20:C24)</f>
        <v>6264.7</v>
      </c>
      <c r="D25" s="12"/>
      <c r="E25" s="1"/>
      <c r="F25" s="2" t="s">
        <v>8</v>
      </c>
      <c r="G25" s="4">
        <f>SUM(G20:G24)</f>
        <v>5017.7</v>
      </c>
    </row>
    <row r="26" spans="1:7">
      <c r="A26" s="1"/>
      <c r="B26" s="23" t="s">
        <v>9</v>
      </c>
      <c r="C26" s="24">
        <v>14995</v>
      </c>
      <c r="D26" s="12"/>
      <c r="E26" s="1"/>
      <c r="F26" s="23" t="s">
        <v>9</v>
      </c>
      <c r="G26" s="24">
        <v>8995</v>
      </c>
    </row>
    <row r="27" spans="1:7">
      <c r="A27" s="22" t="s">
        <v>10</v>
      </c>
      <c r="B27" s="3">
        <f>C27/C26</f>
        <v>0.582214071357119</v>
      </c>
      <c r="C27" s="6">
        <f>(C26-C25)</f>
        <v>8730.2999999999993</v>
      </c>
      <c r="D27" s="12"/>
      <c r="E27" s="22" t="s">
        <v>10</v>
      </c>
      <c r="F27" s="3">
        <f>G27/G26</f>
        <v>0.44216787103946636</v>
      </c>
      <c r="G27" s="6">
        <f>(G26-G25)</f>
        <v>3977.3</v>
      </c>
    </row>
    <row r="28" spans="1:7">
      <c r="A28" s="12"/>
      <c r="B28" s="12"/>
      <c r="C28" s="12"/>
      <c r="D28" s="12"/>
      <c r="E28" s="12"/>
      <c r="F28" s="12"/>
      <c r="G28" s="12"/>
    </row>
    <row r="29" spans="1:7">
      <c r="A29" s="15" t="s">
        <v>57</v>
      </c>
      <c r="B29" s="1" t="s">
        <v>1</v>
      </c>
      <c r="C29" s="4">
        <v>4550</v>
      </c>
      <c r="D29" s="12"/>
      <c r="E29" s="15" t="s">
        <v>58</v>
      </c>
      <c r="F29" s="1" t="s">
        <v>52</v>
      </c>
      <c r="G29" s="4">
        <v>4864</v>
      </c>
    </row>
    <row r="30" spans="1:7">
      <c r="A30" s="1"/>
      <c r="B30" s="1" t="s">
        <v>4</v>
      </c>
      <c r="C30" s="4">
        <v>550</v>
      </c>
      <c r="D30" s="12"/>
      <c r="E30" s="1"/>
      <c r="F30" s="1" t="s">
        <v>4</v>
      </c>
      <c r="G30" s="4">
        <v>550</v>
      </c>
    </row>
    <row r="31" spans="1:7">
      <c r="A31" s="1"/>
      <c r="B31" s="1" t="s">
        <v>5</v>
      </c>
      <c r="C31" s="4">
        <v>155</v>
      </c>
      <c r="D31" s="12"/>
      <c r="E31" s="1"/>
      <c r="F31" s="1" t="s">
        <v>5</v>
      </c>
      <c r="G31" s="4">
        <v>0</v>
      </c>
    </row>
    <row r="32" spans="1:7">
      <c r="A32" s="1"/>
      <c r="B32" s="1" t="s">
        <v>6</v>
      </c>
      <c r="C32" s="4">
        <v>110</v>
      </c>
      <c r="D32" s="12"/>
      <c r="E32" s="1"/>
      <c r="F32" s="1" t="s">
        <v>6</v>
      </c>
      <c r="G32" s="4">
        <v>0</v>
      </c>
    </row>
    <row r="33" spans="1:7">
      <c r="A33" s="1"/>
      <c r="B33" s="1" t="s">
        <v>7</v>
      </c>
      <c r="C33" s="4">
        <f>(C35*6%)</f>
        <v>899.69999999999993</v>
      </c>
      <c r="D33" s="12"/>
      <c r="E33" s="1"/>
      <c r="F33" s="1" t="s">
        <v>7</v>
      </c>
      <c r="G33" s="4">
        <f>(G35*6%)</f>
        <v>599.69999999999993</v>
      </c>
    </row>
    <row r="34" spans="1:7">
      <c r="A34" s="1"/>
      <c r="B34" s="2" t="s">
        <v>8</v>
      </c>
      <c r="C34" s="4">
        <f>SUM(C29:C33)</f>
        <v>6264.7</v>
      </c>
      <c r="D34" s="12"/>
      <c r="E34" s="1"/>
      <c r="F34" s="2" t="s">
        <v>8</v>
      </c>
      <c r="G34" s="4">
        <f>SUM(G29:G33)</f>
        <v>6013.7</v>
      </c>
    </row>
    <row r="35" spans="1:7">
      <c r="A35" s="1"/>
      <c r="B35" s="23" t="s">
        <v>9</v>
      </c>
      <c r="C35" s="24">
        <v>14995</v>
      </c>
      <c r="D35" s="12"/>
      <c r="E35" s="1"/>
      <c r="F35" s="23" t="s">
        <v>9</v>
      </c>
      <c r="G35" s="24">
        <v>9995</v>
      </c>
    </row>
    <row r="36" spans="1:7">
      <c r="A36" s="22" t="s">
        <v>10</v>
      </c>
      <c r="B36" s="3">
        <f>C36/C35</f>
        <v>0.582214071357119</v>
      </c>
      <c r="C36" s="6">
        <f>(C35-C34)</f>
        <v>8730.2999999999993</v>
      </c>
      <c r="D36" s="12"/>
      <c r="E36" s="22" t="s">
        <v>10</v>
      </c>
      <c r="F36" s="3">
        <f>G36/G35</f>
        <v>0.39832916458229117</v>
      </c>
      <c r="G36" s="6">
        <f>(G35-G34)</f>
        <v>3981.3</v>
      </c>
    </row>
    <row r="37" spans="1:7">
      <c r="A37" s="12"/>
      <c r="B37" s="12"/>
      <c r="C37" s="12"/>
      <c r="D37" s="12"/>
      <c r="E37" s="12"/>
      <c r="F37" s="12"/>
      <c r="G37" s="12"/>
    </row>
    <row r="38" spans="1:7">
      <c r="A38" s="15" t="s">
        <v>59</v>
      </c>
      <c r="B38" s="1" t="s">
        <v>1</v>
      </c>
      <c r="C38" s="4">
        <v>4350</v>
      </c>
      <c r="D38" s="12"/>
      <c r="E38" s="15" t="s">
        <v>60</v>
      </c>
      <c r="F38" s="1" t="s">
        <v>52</v>
      </c>
      <c r="G38" s="4">
        <v>4630</v>
      </c>
    </row>
    <row r="39" spans="1:7">
      <c r="A39" s="1"/>
      <c r="B39" s="1" t="s">
        <v>4</v>
      </c>
      <c r="C39" s="4">
        <v>550</v>
      </c>
      <c r="D39" s="12"/>
      <c r="E39" s="1"/>
      <c r="F39" s="1" t="s">
        <v>4</v>
      </c>
      <c r="G39" s="4">
        <v>550</v>
      </c>
    </row>
    <row r="40" spans="1:7">
      <c r="A40" s="1"/>
      <c r="B40" s="1" t="s">
        <v>5</v>
      </c>
      <c r="C40" s="4">
        <v>155</v>
      </c>
      <c r="D40" s="12"/>
      <c r="E40" s="1"/>
      <c r="F40" s="1" t="s">
        <v>5</v>
      </c>
      <c r="G40" s="4">
        <v>0</v>
      </c>
    </row>
    <row r="41" spans="1:7">
      <c r="A41" s="1"/>
      <c r="B41" s="1" t="s">
        <v>6</v>
      </c>
      <c r="C41" s="4">
        <v>110</v>
      </c>
      <c r="D41" s="12"/>
      <c r="E41" s="1"/>
      <c r="F41" s="1" t="s">
        <v>6</v>
      </c>
      <c r="G41" s="4">
        <v>0</v>
      </c>
    </row>
    <row r="42" spans="1:7">
      <c r="A42" s="1"/>
      <c r="B42" s="1" t="s">
        <v>7</v>
      </c>
      <c r="C42" s="4">
        <f>(C44*6%)</f>
        <v>719.69999999999993</v>
      </c>
      <c r="D42" s="12"/>
      <c r="E42" s="1"/>
      <c r="F42" s="1" t="s">
        <v>7</v>
      </c>
      <c r="G42" s="4">
        <f>(G44*6%)</f>
        <v>599.69999999999993</v>
      </c>
    </row>
    <row r="43" spans="1:7">
      <c r="A43" s="1"/>
      <c r="B43" s="2" t="s">
        <v>8</v>
      </c>
      <c r="C43" s="4">
        <f>SUM(C38:C42)</f>
        <v>5884.7</v>
      </c>
      <c r="D43" s="12"/>
      <c r="E43" s="1"/>
      <c r="F43" s="2" t="s">
        <v>8</v>
      </c>
      <c r="G43" s="4">
        <f>SUM(G38:G42)</f>
        <v>5779.7</v>
      </c>
    </row>
    <row r="44" spans="1:7">
      <c r="A44" s="1"/>
      <c r="B44" s="23" t="s">
        <v>9</v>
      </c>
      <c r="C44" s="24">
        <v>11995</v>
      </c>
      <c r="D44" s="12"/>
      <c r="E44" s="1"/>
      <c r="F44" s="23" t="s">
        <v>9</v>
      </c>
      <c r="G44" s="24">
        <v>9995</v>
      </c>
    </row>
    <row r="45" spans="1:7">
      <c r="A45" s="1" t="s">
        <v>10</v>
      </c>
      <c r="B45" s="3">
        <f>C45/C44</f>
        <v>0.50940391829929144</v>
      </c>
      <c r="C45" s="6">
        <f>(C44-C43)</f>
        <v>6110.3</v>
      </c>
      <c r="D45" s="12"/>
      <c r="E45" s="22" t="s">
        <v>10</v>
      </c>
      <c r="F45" s="3">
        <f>G45/G44</f>
        <v>0.42174087043521763</v>
      </c>
      <c r="G45" s="6">
        <f>(G44-G43)</f>
        <v>4215.3</v>
      </c>
    </row>
    <row r="46" spans="1:7">
      <c r="A46" s="12"/>
      <c r="B46" s="12"/>
      <c r="C46" s="12"/>
      <c r="D46" s="12"/>
      <c r="E46" s="12"/>
      <c r="F46" s="12"/>
      <c r="G46" s="12"/>
    </row>
    <row r="47" spans="1:7">
      <c r="A47" s="15" t="s">
        <v>61</v>
      </c>
      <c r="B47" s="1" t="s">
        <v>1</v>
      </c>
      <c r="C47" s="4">
        <v>4150</v>
      </c>
      <c r="D47" s="12"/>
      <c r="E47" s="15" t="s">
        <v>62</v>
      </c>
      <c r="F47" s="1" t="s">
        <v>52</v>
      </c>
      <c r="G47" s="4">
        <v>5565</v>
      </c>
    </row>
    <row r="48" spans="1:7">
      <c r="A48" s="1"/>
      <c r="B48" s="1" t="s">
        <v>4</v>
      </c>
      <c r="C48" s="4">
        <v>550</v>
      </c>
      <c r="D48" s="12"/>
      <c r="E48" s="1"/>
      <c r="F48" s="1" t="s">
        <v>4</v>
      </c>
      <c r="G48" s="4">
        <v>550</v>
      </c>
    </row>
    <row r="49" spans="1:7">
      <c r="A49" s="1"/>
      <c r="B49" s="1" t="s">
        <v>5</v>
      </c>
      <c r="C49" s="4">
        <v>155</v>
      </c>
      <c r="D49" s="12"/>
      <c r="E49" s="1"/>
      <c r="F49" s="1" t="s">
        <v>5</v>
      </c>
      <c r="G49" s="4">
        <v>0</v>
      </c>
    </row>
    <row r="50" spans="1:7">
      <c r="A50" s="1"/>
      <c r="B50" s="1" t="s">
        <v>6</v>
      </c>
      <c r="C50" s="4">
        <v>110</v>
      </c>
      <c r="D50" s="12"/>
      <c r="E50" s="1"/>
      <c r="F50" s="1" t="s">
        <v>6</v>
      </c>
      <c r="G50" s="4">
        <v>0</v>
      </c>
    </row>
    <row r="51" spans="1:7">
      <c r="A51" s="1"/>
      <c r="B51" s="1" t="s">
        <v>7</v>
      </c>
      <c r="C51" s="4">
        <f>(C53*6%)</f>
        <v>719.93999999999994</v>
      </c>
      <c r="D51" s="12"/>
      <c r="E51" s="1"/>
      <c r="F51" s="1" t="s">
        <v>7</v>
      </c>
      <c r="G51" s="4">
        <f>(G53*6%)</f>
        <v>659.69999999999993</v>
      </c>
    </row>
    <row r="52" spans="1:7">
      <c r="A52" s="1"/>
      <c r="B52" s="2" t="s">
        <v>8</v>
      </c>
      <c r="C52" s="4">
        <f>SUM(C47:C51)</f>
        <v>5684.94</v>
      </c>
      <c r="D52" s="12"/>
      <c r="E52" s="1"/>
      <c r="F52" s="2" t="s">
        <v>8</v>
      </c>
      <c r="G52" s="4">
        <f>SUM(G47:G51)</f>
        <v>6774.7</v>
      </c>
    </row>
    <row r="53" spans="1:7">
      <c r="A53" s="1"/>
      <c r="B53" s="23" t="s">
        <v>9</v>
      </c>
      <c r="C53" s="24">
        <v>11999</v>
      </c>
      <c r="D53" s="12"/>
      <c r="E53" s="1"/>
      <c r="F53" s="23" t="s">
        <v>9</v>
      </c>
      <c r="G53" s="24">
        <v>10995</v>
      </c>
    </row>
    <row r="54" spans="1:7">
      <c r="A54" s="22" t="s">
        <v>10</v>
      </c>
      <c r="B54" s="3">
        <f>C54/C53</f>
        <v>0.65413784482040171</v>
      </c>
      <c r="C54" s="6">
        <f>(C53-C47)</f>
        <v>7849</v>
      </c>
      <c r="D54" s="12"/>
      <c r="E54" s="22" t="s">
        <v>10</v>
      </c>
      <c r="F54" s="3">
        <f>G54/G53</f>
        <v>0.38383810823101411</v>
      </c>
      <c r="G54" s="6">
        <f>(G53-G52)</f>
        <v>4220.3</v>
      </c>
    </row>
    <row r="55" spans="1:7">
      <c r="A55" s="12"/>
      <c r="B55" s="12"/>
      <c r="C55" s="12"/>
      <c r="D55" s="12"/>
      <c r="E55" s="12"/>
      <c r="F55" s="12"/>
      <c r="G55" s="12"/>
    </row>
    <row r="56" spans="1:7">
      <c r="A56" s="15" t="s">
        <v>63</v>
      </c>
      <c r="B56" s="1" t="s">
        <v>1</v>
      </c>
      <c r="C56" s="4">
        <v>4150</v>
      </c>
      <c r="D56" s="12"/>
    </row>
    <row r="57" spans="1:7">
      <c r="A57" s="1"/>
      <c r="B57" s="1" t="s">
        <v>4</v>
      </c>
      <c r="C57" s="4">
        <v>550</v>
      </c>
      <c r="D57" s="12"/>
    </row>
    <row r="58" spans="1:7">
      <c r="A58" s="1"/>
      <c r="B58" s="1" t="s">
        <v>5</v>
      </c>
      <c r="C58" s="4">
        <v>155</v>
      </c>
      <c r="D58" s="12"/>
    </row>
    <row r="59" spans="1:7">
      <c r="A59" s="1"/>
      <c r="B59" s="1" t="s">
        <v>6</v>
      </c>
      <c r="C59" s="4">
        <v>110</v>
      </c>
      <c r="D59" s="12"/>
    </row>
    <row r="60" spans="1:7">
      <c r="A60" s="1"/>
      <c r="B60" s="1" t="s">
        <v>7</v>
      </c>
      <c r="C60" s="4">
        <f>(C62*6%)</f>
        <v>719.69999999999993</v>
      </c>
      <c r="D60" s="12"/>
    </row>
    <row r="61" spans="1:7">
      <c r="A61" s="1"/>
      <c r="B61" s="2" t="s">
        <v>8</v>
      </c>
      <c r="C61" s="4">
        <f>SUM(C56:C60)</f>
        <v>5684.7</v>
      </c>
      <c r="D61" s="12"/>
    </row>
    <row r="62" spans="1:7">
      <c r="A62" s="1"/>
      <c r="B62" s="23" t="s">
        <v>9</v>
      </c>
      <c r="C62" s="24">
        <v>11995</v>
      </c>
      <c r="D62" s="12"/>
    </row>
    <row r="63" spans="1:7">
      <c r="A63" s="22" t="s">
        <v>10</v>
      </c>
      <c r="B63" s="3">
        <f>C63/C62</f>
        <v>0.5260775323051271</v>
      </c>
      <c r="C63" s="6">
        <f>(C62-C61)</f>
        <v>6310.3</v>
      </c>
      <c r="D63" s="12"/>
    </row>
    <row r="64" spans="1:7">
      <c r="A64" s="12"/>
      <c r="B64" s="12"/>
      <c r="C64" s="12"/>
      <c r="D64" s="12"/>
    </row>
    <row r="65" spans="1:4">
      <c r="A65" s="15" t="s">
        <v>64</v>
      </c>
      <c r="B65" s="1" t="s">
        <v>1</v>
      </c>
      <c r="C65" s="4">
        <v>3750</v>
      </c>
      <c r="D65" s="12"/>
    </row>
    <row r="66" spans="1:4">
      <c r="A66" s="1"/>
      <c r="B66" s="1" t="s">
        <v>4</v>
      </c>
      <c r="C66" s="4">
        <v>550</v>
      </c>
      <c r="D66" s="12"/>
    </row>
    <row r="67" spans="1:4">
      <c r="A67" s="1"/>
      <c r="B67" s="1" t="s">
        <v>5</v>
      </c>
      <c r="C67" s="4">
        <v>155</v>
      </c>
      <c r="D67" s="12"/>
    </row>
    <row r="68" spans="1:4">
      <c r="A68" s="1"/>
      <c r="B68" s="1" t="s">
        <v>6</v>
      </c>
      <c r="C68" s="4">
        <v>110</v>
      </c>
      <c r="D68" s="12"/>
    </row>
    <row r="69" spans="1:4">
      <c r="A69" s="1"/>
      <c r="B69" s="1" t="s">
        <v>7</v>
      </c>
      <c r="C69" s="4">
        <f>(C71*6%)</f>
        <v>599.93999999999994</v>
      </c>
      <c r="D69" s="12"/>
    </row>
    <row r="70" spans="1:4">
      <c r="A70" s="1"/>
      <c r="B70" s="2" t="s">
        <v>8</v>
      </c>
      <c r="C70" s="4">
        <f>SUM(C65:C69)</f>
        <v>5164.9399999999996</v>
      </c>
      <c r="D70" s="12"/>
    </row>
    <row r="71" spans="1:4">
      <c r="A71" s="1"/>
      <c r="B71" s="23" t="s">
        <v>9</v>
      </c>
      <c r="C71" s="24">
        <v>9999</v>
      </c>
      <c r="D71" s="12"/>
    </row>
    <row r="72" spans="1:4">
      <c r="A72" s="22" t="s">
        <v>10</v>
      </c>
      <c r="B72" s="3">
        <f>C72/C71</f>
        <v>0.48345434543454352</v>
      </c>
      <c r="C72" s="6">
        <f>(C71-C70)</f>
        <v>4834.0600000000004</v>
      </c>
      <c r="D72" s="12"/>
    </row>
    <row r="73" spans="1:4">
      <c r="A73" s="12"/>
      <c r="B73" s="12"/>
      <c r="C73" s="12"/>
      <c r="D73" s="12"/>
    </row>
    <row r="74" spans="1:4">
      <c r="A74" s="15" t="s">
        <v>65</v>
      </c>
      <c r="B74" s="1" t="s">
        <v>1</v>
      </c>
      <c r="C74" s="4">
        <v>3195</v>
      </c>
      <c r="D74" s="12"/>
    </row>
    <row r="75" spans="1:4">
      <c r="A75" s="1"/>
      <c r="B75" s="1" t="s">
        <v>4</v>
      </c>
      <c r="C75" s="4">
        <v>550</v>
      </c>
      <c r="D75" s="12"/>
    </row>
    <row r="76" spans="1:4">
      <c r="A76" s="1"/>
      <c r="B76" s="1" t="s">
        <v>5</v>
      </c>
      <c r="C76" s="4"/>
      <c r="D76" s="12"/>
    </row>
    <row r="77" spans="1:4">
      <c r="A77" s="1"/>
      <c r="B77" s="1" t="s">
        <v>6</v>
      </c>
      <c r="C77" s="4"/>
      <c r="D77" s="12"/>
    </row>
    <row r="78" spans="1:4">
      <c r="A78" s="1"/>
      <c r="B78" s="1" t="s">
        <v>7</v>
      </c>
      <c r="C78" s="4">
        <f>(C80*6%)</f>
        <v>599.69999999999993</v>
      </c>
      <c r="D78" s="12"/>
    </row>
    <row r="79" spans="1:4">
      <c r="A79" s="1"/>
      <c r="B79" s="2" t="s">
        <v>8</v>
      </c>
      <c r="C79" s="4">
        <f>SUM(C74:C78)</f>
        <v>4344.7</v>
      </c>
      <c r="D79" s="12"/>
    </row>
    <row r="80" spans="1:4">
      <c r="A80" s="1"/>
      <c r="B80" s="23" t="s">
        <v>9</v>
      </c>
      <c r="C80" s="24">
        <v>9995</v>
      </c>
      <c r="D80" s="12"/>
    </row>
    <row r="81" spans="1:4">
      <c r="A81" s="22" t="s">
        <v>10</v>
      </c>
      <c r="B81" s="3">
        <f>C81/C80</f>
        <v>0.56531265632816408</v>
      </c>
      <c r="C81" s="6">
        <f>(C80-C79)</f>
        <v>5650.3</v>
      </c>
      <c r="D81" s="12"/>
    </row>
    <row r="82" spans="1:4">
      <c r="A82" s="12"/>
      <c r="B82" s="12"/>
      <c r="C82" s="12"/>
      <c r="D82" s="12"/>
    </row>
  </sheetData>
  <pageMargins left="0.7" right="0.7" top="0.75" bottom="0.75" header="0.3" footer="0.3"/>
  <pageSetup scale="0" firstPageNumber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5E84-18DB-488D-B74D-662A48FB8315}">
  <dimension ref="A1:AD130"/>
  <sheetViews>
    <sheetView topLeftCell="O1" workbookViewId="0">
      <selection activeCell="AD13" sqref="AD13"/>
    </sheetView>
  </sheetViews>
  <sheetFormatPr defaultRowHeight="15"/>
  <cols>
    <col min="1" max="1" width="15.5703125" style="34" customWidth="1"/>
    <col min="2" max="2" width="18" style="34" customWidth="1"/>
    <col min="3" max="3" width="11" style="61" customWidth="1"/>
    <col min="4" max="4" width="5.7109375" style="34" customWidth="1"/>
    <col min="5" max="5" width="16.140625" style="34" customWidth="1"/>
    <col min="6" max="6" width="18.42578125" style="34" customWidth="1"/>
    <col min="7" max="7" width="11.140625" style="34" customWidth="1"/>
    <col min="8" max="8" width="5.42578125" style="34" customWidth="1"/>
    <col min="9" max="9" width="16.140625" style="34" customWidth="1"/>
    <col min="10" max="10" width="18.28515625" style="34" customWidth="1"/>
    <col min="11" max="11" width="12.28515625" style="34" customWidth="1"/>
    <col min="12" max="12" width="5.28515625" style="29" customWidth="1"/>
    <col min="13" max="13" width="14.85546875" style="34" customWidth="1"/>
    <col min="14" max="14" width="16.7109375" style="34" customWidth="1"/>
    <col min="15" max="15" width="11.7109375" style="34" customWidth="1"/>
    <col min="16" max="16" width="4.85546875" style="34" customWidth="1"/>
    <col min="17" max="17" width="14.28515625" style="34" customWidth="1"/>
    <col min="18" max="18" width="16.5703125" style="34" customWidth="1"/>
    <col min="19" max="19" width="11.5703125" style="34" customWidth="1"/>
    <col min="20" max="20" width="4.28515625" style="34" customWidth="1"/>
    <col min="21" max="21" width="14.42578125" style="34" customWidth="1"/>
    <col min="22" max="22" width="17.28515625" style="34" customWidth="1"/>
    <col min="23" max="23" width="11.42578125" style="34" customWidth="1"/>
    <col min="24" max="24" width="6.7109375" style="34" customWidth="1"/>
    <col min="25" max="25" width="17.140625" style="34" customWidth="1"/>
    <col min="26" max="26" width="19.7109375" style="34" customWidth="1"/>
    <col min="27" max="27" width="15.7109375" style="34" customWidth="1"/>
    <col min="28" max="28" width="5.140625" style="34" customWidth="1"/>
    <col min="29" max="29" width="9.140625" style="34"/>
    <col min="30" max="30" width="28.85546875" style="34" customWidth="1"/>
    <col min="31" max="16384" width="9.140625" style="34"/>
  </cols>
  <sheetData>
    <row r="1" spans="1:30" ht="32.25" customHeight="1">
      <c r="A1" s="30" t="s">
        <v>66</v>
      </c>
      <c r="B1" s="31"/>
      <c r="C1" s="59"/>
      <c r="D1" s="31"/>
      <c r="E1" s="32" t="s">
        <v>67</v>
      </c>
      <c r="F1" s="31"/>
      <c r="G1" s="31"/>
      <c r="H1" s="31"/>
      <c r="I1" s="30" t="s">
        <v>68</v>
      </c>
      <c r="J1" s="31"/>
      <c r="K1" s="31"/>
      <c r="L1" s="33"/>
      <c r="M1" s="30" t="s">
        <v>69</v>
      </c>
      <c r="N1" s="31"/>
      <c r="O1" s="31"/>
      <c r="P1" s="33"/>
      <c r="Q1" s="30" t="s">
        <v>70</v>
      </c>
      <c r="R1" s="31"/>
      <c r="S1" s="31"/>
      <c r="T1" s="33"/>
      <c r="U1" s="30" t="s">
        <v>71</v>
      </c>
      <c r="V1" s="31"/>
      <c r="W1" s="31"/>
      <c r="X1" s="33"/>
      <c r="Y1" s="63" t="s">
        <v>72</v>
      </c>
      <c r="Z1" s="48"/>
      <c r="AA1" s="48"/>
      <c r="AB1" s="48"/>
    </row>
    <row r="2" spans="1:30">
      <c r="A2" s="35" t="s">
        <v>73</v>
      </c>
      <c r="B2" s="36" t="s">
        <v>9</v>
      </c>
      <c r="C2" s="37">
        <v>2100</v>
      </c>
      <c r="D2" s="38"/>
      <c r="E2" s="35" t="s">
        <v>74</v>
      </c>
      <c r="F2" s="36" t="s">
        <v>9</v>
      </c>
      <c r="G2" s="37">
        <v>3353</v>
      </c>
      <c r="H2" s="38"/>
      <c r="I2" s="35" t="s">
        <v>75</v>
      </c>
      <c r="J2" s="36" t="s">
        <v>9</v>
      </c>
      <c r="K2" s="37">
        <v>5483</v>
      </c>
      <c r="L2" s="39"/>
      <c r="M2" s="35" t="s">
        <v>76</v>
      </c>
      <c r="N2" s="36" t="s">
        <v>9</v>
      </c>
      <c r="O2" s="37">
        <v>3482.5</v>
      </c>
      <c r="P2" s="39"/>
      <c r="Q2" s="35" t="s">
        <v>77</v>
      </c>
      <c r="R2" s="36" t="s">
        <v>9</v>
      </c>
      <c r="S2" s="37">
        <v>2495</v>
      </c>
      <c r="T2" s="39"/>
      <c r="U2" s="35" t="s">
        <v>78</v>
      </c>
      <c r="V2" s="36" t="s">
        <v>9</v>
      </c>
      <c r="W2" s="37">
        <v>4245</v>
      </c>
      <c r="X2" s="39"/>
      <c r="Y2" s="35" t="s">
        <v>79</v>
      </c>
      <c r="Z2" s="36" t="s">
        <v>9</v>
      </c>
      <c r="AA2" s="37">
        <v>3243.5</v>
      </c>
      <c r="AB2" s="48"/>
    </row>
    <row r="3" spans="1:30">
      <c r="A3" s="36"/>
      <c r="B3" s="36" t="s">
        <v>4</v>
      </c>
      <c r="C3" s="62">
        <v>381</v>
      </c>
      <c r="D3" s="38"/>
      <c r="E3" s="36"/>
      <c r="F3" s="36" t="s">
        <v>4</v>
      </c>
      <c r="G3" s="37">
        <v>450</v>
      </c>
      <c r="H3" s="38"/>
      <c r="I3" s="36"/>
      <c r="J3" s="36" t="s">
        <v>4</v>
      </c>
      <c r="K3" s="37">
        <v>450</v>
      </c>
      <c r="L3" s="39"/>
      <c r="M3" s="36"/>
      <c r="N3" s="36" t="s">
        <v>4</v>
      </c>
      <c r="O3" s="37">
        <v>450</v>
      </c>
      <c r="P3" s="39"/>
      <c r="Q3" s="36"/>
      <c r="R3" s="36" t="s">
        <v>4</v>
      </c>
      <c r="S3" s="37">
        <v>450</v>
      </c>
      <c r="T3" s="39"/>
      <c r="U3" s="36"/>
      <c r="V3" s="36" t="s">
        <v>4</v>
      </c>
      <c r="W3" s="37">
        <v>450</v>
      </c>
      <c r="X3" s="39"/>
      <c r="Y3" s="36"/>
      <c r="Z3" s="36" t="s">
        <v>4</v>
      </c>
      <c r="AA3" s="37">
        <v>450</v>
      </c>
      <c r="AB3" s="48"/>
    </row>
    <row r="4" spans="1:30">
      <c r="A4" s="36"/>
      <c r="B4" s="36" t="s">
        <v>7</v>
      </c>
      <c r="C4" s="62">
        <f>(C6*6%)</f>
        <v>299.7</v>
      </c>
      <c r="D4" s="38"/>
      <c r="E4" s="36"/>
      <c r="F4" s="36" t="s">
        <v>7</v>
      </c>
      <c r="G4" s="37">
        <f>(G6*6%)</f>
        <v>419.7</v>
      </c>
      <c r="H4" s="38"/>
      <c r="I4" s="36"/>
      <c r="J4" s="36" t="s">
        <v>7</v>
      </c>
      <c r="K4" s="37">
        <f>(K6*6%)</f>
        <v>599.69999999999993</v>
      </c>
      <c r="L4" s="39"/>
      <c r="M4" s="36"/>
      <c r="N4" s="36" t="s">
        <v>7</v>
      </c>
      <c r="O4" s="37">
        <f>O6*0.06</f>
        <v>539.69999999999993</v>
      </c>
      <c r="P4" s="39"/>
      <c r="Q4" s="36"/>
      <c r="R4" s="36" t="s">
        <v>7</v>
      </c>
      <c r="S4" s="37">
        <f>S6*0.06</f>
        <v>359.7</v>
      </c>
      <c r="T4" s="39"/>
      <c r="U4" s="36"/>
      <c r="V4" s="36" t="s">
        <v>7</v>
      </c>
      <c r="W4" s="37">
        <f>W6*0.06</f>
        <v>599.69999999999993</v>
      </c>
      <c r="X4" s="39"/>
      <c r="Y4" s="36"/>
      <c r="Z4" s="36" t="s">
        <v>7</v>
      </c>
      <c r="AA4" s="37">
        <f>AA6*0.06</f>
        <v>599.93999999999994</v>
      </c>
      <c r="AB4" s="48"/>
    </row>
    <row r="5" spans="1:30">
      <c r="A5" s="36"/>
      <c r="B5" s="40" t="s">
        <v>8</v>
      </c>
      <c r="C5" s="37">
        <f>SUM(C2:C4)</f>
        <v>2780.7</v>
      </c>
      <c r="D5" s="38"/>
      <c r="E5" s="36"/>
      <c r="F5" s="40" t="s">
        <v>8</v>
      </c>
      <c r="G5" s="37">
        <f>SUM(G2:G4)</f>
        <v>4222.7</v>
      </c>
      <c r="H5" s="38"/>
      <c r="I5" s="36"/>
      <c r="J5" s="40" t="s">
        <v>8</v>
      </c>
      <c r="K5" s="37">
        <f>SUM(K2:K4)</f>
        <v>6532.7</v>
      </c>
      <c r="L5" s="39"/>
      <c r="M5" s="36"/>
      <c r="N5" s="40" t="s">
        <v>8</v>
      </c>
      <c r="O5" s="37">
        <f>SUM(O2:O4)</f>
        <v>4472.2</v>
      </c>
      <c r="P5" s="39"/>
      <c r="Q5" s="36"/>
      <c r="R5" s="40" t="s">
        <v>8</v>
      </c>
      <c r="S5" s="37">
        <f>SUM(S2:S4)</f>
        <v>3304.7</v>
      </c>
      <c r="T5" s="39"/>
      <c r="U5" s="36"/>
      <c r="V5" s="40" t="s">
        <v>8</v>
      </c>
      <c r="W5" s="37">
        <f>SUM(W2:W4)</f>
        <v>5294.7</v>
      </c>
      <c r="X5" s="39"/>
      <c r="Y5" s="36"/>
      <c r="Z5" s="40" t="s">
        <v>8</v>
      </c>
      <c r="AA5" s="37">
        <f>SUM(AA2:AA4)</f>
        <v>4293.4399999999996</v>
      </c>
      <c r="AB5" s="48"/>
      <c r="AD5" s="34" t="s">
        <v>80</v>
      </c>
    </row>
    <row r="6" spans="1:30">
      <c r="A6" s="36"/>
      <c r="B6" s="41" t="s">
        <v>9</v>
      </c>
      <c r="C6" s="42">
        <v>4995</v>
      </c>
      <c r="D6" s="38"/>
      <c r="E6" s="36"/>
      <c r="F6" s="41" t="s">
        <v>9</v>
      </c>
      <c r="G6" s="42">
        <v>6995</v>
      </c>
      <c r="H6" s="38"/>
      <c r="I6" s="36"/>
      <c r="J6" s="41" t="s">
        <v>9</v>
      </c>
      <c r="K6" s="42">
        <v>9995</v>
      </c>
      <c r="L6" s="39"/>
      <c r="M6" s="36"/>
      <c r="N6" s="41" t="s">
        <v>9</v>
      </c>
      <c r="O6" s="42">
        <v>8995</v>
      </c>
      <c r="P6" s="39"/>
      <c r="Q6" s="36"/>
      <c r="R6" s="41" t="s">
        <v>9</v>
      </c>
      <c r="S6" s="42">
        <v>5995</v>
      </c>
      <c r="T6" s="39"/>
      <c r="U6" s="36"/>
      <c r="V6" s="41" t="s">
        <v>9</v>
      </c>
      <c r="W6" s="42">
        <v>9995</v>
      </c>
      <c r="X6" s="39"/>
      <c r="Y6" s="36"/>
      <c r="Z6" s="41" t="s">
        <v>9</v>
      </c>
      <c r="AA6" s="42">
        <v>9999</v>
      </c>
      <c r="AB6" s="48"/>
    </row>
    <row r="7" spans="1:30" ht="18" customHeight="1">
      <c r="A7" s="43" t="s">
        <v>81</v>
      </c>
      <c r="B7" s="44">
        <f>C7/C6</f>
        <v>0.44330330330330336</v>
      </c>
      <c r="C7" s="45">
        <f>(C6-C5)</f>
        <v>2214.3000000000002</v>
      </c>
      <c r="D7" s="38"/>
      <c r="E7" s="46" t="s">
        <v>81</v>
      </c>
      <c r="F7" s="44">
        <f>G7/G6</f>
        <v>0.39632594710507507</v>
      </c>
      <c r="G7" s="45">
        <f>(G6-G5)</f>
        <v>2772.3</v>
      </c>
      <c r="H7" s="38"/>
      <c r="I7" s="46" t="s">
        <v>81</v>
      </c>
      <c r="J7" s="44">
        <f>K7/K6</f>
        <v>0.3464032016008004</v>
      </c>
      <c r="K7" s="45">
        <f>(K6-K5)</f>
        <v>3462.3</v>
      </c>
      <c r="L7" s="39"/>
      <c r="M7" s="46" t="s">
        <v>81</v>
      </c>
      <c r="N7" s="44">
        <f>O7/O6</f>
        <v>0.5028126737076154</v>
      </c>
      <c r="O7" s="45">
        <f>(O6-O5)</f>
        <v>4522.8</v>
      </c>
      <c r="P7" s="39"/>
      <c r="Q7" s="46" t="s">
        <v>81</v>
      </c>
      <c r="R7" s="44">
        <f>S7/S6</f>
        <v>0.44875729774812345</v>
      </c>
      <c r="S7" s="45">
        <f>(S6-S5)</f>
        <v>2690.3</v>
      </c>
      <c r="T7" s="39"/>
      <c r="U7" s="46" t="s">
        <v>81</v>
      </c>
      <c r="V7" s="44">
        <f>W7/W6</f>
        <v>0.47026513256628316</v>
      </c>
      <c r="W7" s="45">
        <f>(W6-W5)</f>
        <v>4700.3</v>
      </c>
      <c r="X7" s="39"/>
      <c r="Y7" s="46" t="s">
        <v>81</v>
      </c>
      <c r="Z7" s="44">
        <f>AA7/AA6</f>
        <v>0.57061306130613065</v>
      </c>
      <c r="AA7" s="45">
        <f>(AA6-AA5)</f>
        <v>5705.56</v>
      </c>
      <c r="AB7" s="48"/>
    </row>
    <row r="8" spans="1:30">
      <c r="A8" s="38" t="s">
        <v>11</v>
      </c>
      <c r="B8" s="38"/>
      <c r="C8" s="60"/>
      <c r="D8" s="38"/>
      <c r="E8" s="38" t="s">
        <v>11</v>
      </c>
      <c r="F8" s="38"/>
      <c r="G8" s="38"/>
      <c r="H8" s="38"/>
      <c r="I8" s="38" t="s">
        <v>11</v>
      </c>
      <c r="J8" s="38"/>
      <c r="K8" s="38"/>
      <c r="L8" s="39"/>
      <c r="M8" s="38" t="s">
        <v>11</v>
      </c>
      <c r="N8" s="38"/>
      <c r="O8" s="38"/>
      <c r="P8" s="39"/>
      <c r="Q8" s="38" t="s">
        <v>11</v>
      </c>
      <c r="R8" s="38"/>
      <c r="S8" s="38"/>
      <c r="T8" s="39"/>
      <c r="U8" s="38" t="s">
        <v>11</v>
      </c>
      <c r="V8" s="38"/>
      <c r="W8" s="38"/>
      <c r="X8" s="39"/>
      <c r="Y8" s="36"/>
      <c r="Z8" s="36"/>
      <c r="AA8" s="36"/>
      <c r="AB8" s="48"/>
    </row>
    <row r="9" spans="1:30">
      <c r="A9" s="35" t="s">
        <v>82</v>
      </c>
      <c r="B9" s="36" t="s">
        <v>9</v>
      </c>
      <c r="C9" s="37">
        <v>2599</v>
      </c>
      <c r="D9" s="38"/>
      <c r="E9" s="35" t="s">
        <v>83</v>
      </c>
      <c r="F9" s="36" t="s">
        <v>9</v>
      </c>
      <c r="G9" s="37">
        <v>3858</v>
      </c>
      <c r="H9" s="38"/>
      <c r="I9" s="35" t="s">
        <v>84</v>
      </c>
      <c r="J9" s="36" t="s">
        <v>9</v>
      </c>
      <c r="K9" s="37">
        <v>7603</v>
      </c>
      <c r="L9" s="39"/>
      <c r="M9" s="35" t="s">
        <v>85</v>
      </c>
      <c r="N9" s="36" t="s">
        <v>9</v>
      </c>
      <c r="O9" s="37">
        <v>4694</v>
      </c>
      <c r="P9" s="39"/>
      <c r="Q9" s="35" t="s">
        <v>86</v>
      </c>
      <c r="R9" s="36" t="s">
        <v>9</v>
      </c>
      <c r="S9" s="37">
        <v>2995</v>
      </c>
      <c r="T9" s="39"/>
      <c r="U9" s="35" t="s">
        <v>87</v>
      </c>
      <c r="V9" s="36" t="s">
        <v>9</v>
      </c>
      <c r="W9" s="37">
        <v>5945</v>
      </c>
      <c r="X9" s="39"/>
      <c r="Y9" s="35" t="s">
        <v>88</v>
      </c>
      <c r="Z9" s="36" t="s">
        <v>9</v>
      </c>
      <c r="AA9" s="37">
        <v>3243.5</v>
      </c>
      <c r="AB9" s="48"/>
    </row>
    <row r="10" spans="1:30">
      <c r="A10" s="36"/>
      <c r="B10" s="36" t="s">
        <v>4</v>
      </c>
      <c r="C10" s="37">
        <v>381</v>
      </c>
      <c r="D10" s="38"/>
      <c r="E10" s="36"/>
      <c r="F10" s="36" t="s">
        <v>4</v>
      </c>
      <c r="G10" s="37">
        <v>450</v>
      </c>
      <c r="H10" s="38"/>
      <c r="I10" s="36"/>
      <c r="J10" s="36" t="s">
        <v>4</v>
      </c>
      <c r="K10" s="37">
        <v>381</v>
      </c>
      <c r="L10" s="39"/>
      <c r="M10" s="36"/>
      <c r="N10" s="36" t="s">
        <v>4</v>
      </c>
      <c r="O10" s="37">
        <v>450</v>
      </c>
      <c r="P10" s="39"/>
      <c r="Q10" s="36"/>
      <c r="R10" s="36" t="s">
        <v>4</v>
      </c>
      <c r="S10" s="37">
        <v>450</v>
      </c>
      <c r="T10" s="39"/>
      <c r="U10" s="36"/>
      <c r="V10" s="36" t="s">
        <v>4</v>
      </c>
      <c r="W10" s="37">
        <v>450</v>
      </c>
      <c r="X10" s="39"/>
      <c r="Y10" s="36"/>
      <c r="Z10" s="36" t="s">
        <v>4</v>
      </c>
      <c r="AA10" s="37">
        <v>450</v>
      </c>
      <c r="AB10" s="48"/>
    </row>
    <row r="11" spans="1:30">
      <c r="A11" s="36"/>
      <c r="B11" s="36" t="s">
        <v>7</v>
      </c>
      <c r="C11" s="37">
        <f>(C13*6%)</f>
        <v>359.7</v>
      </c>
      <c r="D11" s="38"/>
      <c r="E11" s="36"/>
      <c r="F11" s="36" t="s">
        <v>7</v>
      </c>
      <c r="G11" s="37">
        <f>(G13*6%)</f>
        <v>449.7</v>
      </c>
      <c r="H11" s="38"/>
      <c r="I11" s="36"/>
      <c r="J11" s="36" t="s">
        <v>7</v>
      </c>
      <c r="K11" s="37">
        <f>(K13*6%)</f>
        <v>779.69999999999993</v>
      </c>
      <c r="L11" s="39"/>
      <c r="M11" s="36"/>
      <c r="N11" s="36" t="s">
        <v>7</v>
      </c>
      <c r="O11" s="37">
        <f>O13*0.06</f>
        <v>599.69999999999993</v>
      </c>
      <c r="P11" s="39"/>
      <c r="Q11" s="36"/>
      <c r="R11" s="36" t="s">
        <v>7</v>
      </c>
      <c r="S11" s="37">
        <f>S13*0.06</f>
        <v>419.7</v>
      </c>
      <c r="T11" s="39"/>
      <c r="U11" s="36"/>
      <c r="V11" s="36" t="s">
        <v>7</v>
      </c>
      <c r="W11" s="37">
        <f>W13*0.06</f>
        <v>779.69999999999993</v>
      </c>
      <c r="X11" s="39"/>
      <c r="Y11" s="36"/>
      <c r="Z11" s="36" t="s">
        <v>7</v>
      </c>
      <c r="AA11" s="37">
        <f>AA13*0.06</f>
        <v>0</v>
      </c>
      <c r="AB11" s="48"/>
    </row>
    <row r="12" spans="1:30">
      <c r="A12" s="36"/>
      <c r="B12" s="40" t="s">
        <v>8</v>
      </c>
      <c r="C12" s="37">
        <f>SUM(C9:C11)</f>
        <v>3339.7</v>
      </c>
      <c r="D12" s="38"/>
      <c r="E12" s="36"/>
      <c r="F12" s="40" t="s">
        <v>8</v>
      </c>
      <c r="G12" s="37">
        <f>SUM(G9:G11)</f>
        <v>4757.7</v>
      </c>
      <c r="H12" s="38"/>
      <c r="I12" s="36"/>
      <c r="J12" s="40" t="s">
        <v>8</v>
      </c>
      <c r="K12" s="37">
        <f>SUM(K9:K11)</f>
        <v>8763.7000000000007</v>
      </c>
      <c r="L12" s="39"/>
      <c r="M12" s="36"/>
      <c r="N12" s="40" t="s">
        <v>8</v>
      </c>
      <c r="O12" s="37">
        <f>SUM(O9:O11)</f>
        <v>5743.7</v>
      </c>
      <c r="P12" s="39"/>
      <c r="Q12" s="36"/>
      <c r="R12" s="40" t="s">
        <v>8</v>
      </c>
      <c r="S12" s="37">
        <f>SUM(S9:S11)</f>
        <v>3864.7</v>
      </c>
      <c r="T12" s="39"/>
      <c r="U12" s="36"/>
      <c r="V12" s="40" t="s">
        <v>8</v>
      </c>
      <c r="W12" s="37">
        <f>SUM(W9:W11)</f>
        <v>7174.7</v>
      </c>
      <c r="X12" s="39"/>
      <c r="Y12" s="36"/>
      <c r="Z12" s="40" t="s">
        <v>8</v>
      </c>
      <c r="AA12" s="37">
        <f>SUM(AA9:AA11)</f>
        <v>3693.5</v>
      </c>
      <c r="AB12" s="48"/>
    </row>
    <row r="13" spans="1:30">
      <c r="A13" s="36"/>
      <c r="B13" s="41" t="s">
        <v>9</v>
      </c>
      <c r="C13" s="42">
        <v>5995</v>
      </c>
      <c r="D13" s="38"/>
      <c r="E13" s="36"/>
      <c r="F13" s="41" t="s">
        <v>9</v>
      </c>
      <c r="G13" s="42">
        <v>7495</v>
      </c>
      <c r="H13" s="38"/>
      <c r="I13" s="36"/>
      <c r="J13" s="41" t="s">
        <v>9</v>
      </c>
      <c r="K13" s="42">
        <v>12995</v>
      </c>
      <c r="L13" s="39"/>
      <c r="M13" s="36"/>
      <c r="N13" s="41" t="s">
        <v>9</v>
      </c>
      <c r="O13" s="42">
        <v>9995</v>
      </c>
      <c r="P13" s="39"/>
      <c r="Q13" s="36"/>
      <c r="R13" s="41" t="s">
        <v>9</v>
      </c>
      <c r="S13" s="42">
        <v>6995</v>
      </c>
      <c r="T13" s="39"/>
      <c r="U13" s="36"/>
      <c r="V13" s="41" t="s">
        <v>9</v>
      </c>
      <c r="W13" s="42">
        <v>12995</v>
      </c>
      <c r="X13" s="39"/>
      <c r="Y13" s="36"/>
      <c r="Z13" s="41" t="s">
        <v>9</v>
      </c>
      <c r="AA13" s="42"/>
      <c r="AB13" s="48"/>
    </row>
    <row r="14" spans="1:30" ht="28.5">
      <c r="A14" s="43" t="s">
        <v>81</v>
      </c>
      <c r="B14" s="44">
        <f>C14/C13</f>
        <v>0.4429190992493745</v>
      </c>
      <c r="C14" s="45">
        <f>(C13-C12)</f>
        <v>2655.3</v>
      </c>
      <c r="D14" s="38"/>
      <c r="E14" s="46" t="s">
        <v>81</v>
      </c>
      <c r="F14" s="44">
        <f>G14/G13</f>
        <v>0.36521681120747168</v>
      </c>
      <c r="G14" s="45">
        <f>(G13-G12)</f>
        <v>2737.3</v>
      </c>
      <c r="H14" s="38"/>
      <c r="I14" s="46" t="s">
        <v>81</v>
      </c>
      <c r="J14" s="44">
        <f>K14/K13</f>
        <v>0.32560984994228542</v>
      </c>
      <c r="K14" s="45">
        <f>(K13-K12)</f>
        <v>4231.2999999999993</v>
      </c>
      <c r="L14" s="39"/>
      <c r="M14" s="46" t="s">
        <v>81</v>
      </c>
      <c r="N14" s="44">
        <f>O14/O13</f>
        <v>0.42534267133566783</v>
      </c>
      <c r="O14" s="45">
        <f>(O13-O12)</f>
        <v>4251.3</v>
      </c>
      <c r="P14" s="39"/>
      <c r="Q14" s="46" t="s">
        <v>81</v>
      </c>
      <c r="R14" s="44">
        <f>S14/S13</f>
        <v>0.44750536097212296</v>
      </c>
      <c r="S14" s="45">
        <f>(S13-S12)</f>
        <v>3130.3</v>
      </c>
      <c r="T14" s="39"/>
      <c r="U14" s="46" t="s">
        <v>81</v>
      </c>
      <c r="V14" s="44">
        <f>W14/W13</f>
        <v>0.44788764909580608</v>
      </c>
      <c r="W14" s="45">
        <f>(W13-W12)</f>
        <v>5820.3</v>
      </c>
      <c r="X14" s="39"/>
      <c r="Y14" s="46" t="s">
        <v>81</v>
      </c>
      <c r="Z14" s="44" t="e">
        <f>AA14/AA13</f>
        <v>#DIV/0!</v>
      </c>
      <c r="AA14" s="45">
        <f>(AA13-AA12)</f>
        <v>-3693.5</v>
      </c>
      <c r="AB14" s="48"/>
    </row>
    <row r="15" spans="1:30">
      <c r="A15" s="32"/>
      <c r="B15" s="47"/>
      <c r="C15" s="59"/>
      <c r="D15" s="47"/>
      <c r="E15" s="38" t="s">
        <v>11</v>
      </c>
      <c r="F15" s="38"/>
      <c r="G15" s="38"/>
      <c r="H15" s="38"/>
      <c r="I15" s="32"/>
      <c r="J15" s="47"/>
      <c r="K15" s="47"/>
      <c r="L15" s="39"/>
      <c r="M15" s="32"/>
      <c r="N15" s="47"/>
      <c r="O15" s="47"/>
      <c r="P15" s="39"/>
      <c r="Q15" s="32"/>
      <c r="R15" s="47"/>
      <c r="S15" s="47"/>
      <c r="T15" s="39"/>
      <c r="U15" s="32"/>
      <c r="V15" s="47"/>
      <c r="W15" s="47"/>
      <c r="X15" s="39"/>
      <c r="Y15" s="36"/>
      <c r="Z15" s="36"/>
      <c r="AA15" s="36"/>
      <c r="AB15" s="48"/>
    </row>
    <row r="16" spans="1:30">
      <c r="A16" s="35" t="s">
        <v>89</v>
      </c>
      <c r="B16" s="36" t="s">
        <v>9</v>
      </c>
      <c r="C16" s="37">
        <v>2799</v>
      </c>
      <c r="D16" s="38"/>
      <c r="E16" s="35" t="s">
        <v>90</v>
      </c>
      <c r="F16" s="36" t="s">
        <v>9</v>
      </c>
      <c r="G16" s="37">
        <v>4218</v>
      </c>
      <c r="H16" s="38"/>
      <c r="I16" s="35" t="s">
        <v>91</v>
      </c>
      <c r="J16" s="36" t="s">
        <v>9</v>
      </c>
      <c r="K16" s="37">
        <v>4443</v>
      </c>
      <c r="L16" s="39"/>
      <c r="M16" s="35" t="s">
        <v>92</v>
      </c>
      <c r="N16" s="36" t="s">
        <v>9</v>
      </c>
      <c r="O16" s="37">
        <v>5272.5</v>
      </c>
      <c r="P16" s="39"/>
      <c r="Q16" s="35" t="s">
        <v>93</v>
      </c>
      <c r="R16" s="36" t="s">
        <v>9</v>
      </c>
      <c r="S16" s="37">
        <v>3745</v>
      </c>
      <c r="T16" s="39"/>
      <c r="U16" s="51"/>
      <c r="V16" s="51"/>
      <c r="W16" s="52"/>
      <c r="X16" s="39"/>
      <c r="Y16" s="35" t="s">
        <v>94</v>
      </c>
      <c r="Z16" s="36" t="s">
        <v>9</v>
      </c>
      <c r="AA16" s="37">
        <v>3893.5</v>
      </c>
      <c r="AB16" s="48"/>
    </row>
    <row r="17" spans="1:28">
      <c r="A17" s="36"/>
      <c r="B17" s="36" t="s">
        <v>4</v>
      </c>
      <c r="C17" s="37">
        <v>381</v>
      </c>
      <c r="D17" s="38"/>
      <c r="E17" s="36"/>
      <c r="F17" s="36" t="s">
        <v>4</v>
      </c>
      <c r="G17" s="37">
        <v>450</v>
      </c>
      <c r="H17" s="38"/>
      <c r="I17" s="36"/>
      <c r="J17" s="36" t="s">
        <v>4</v>
      </c>
      <c r="K17" s="37">
        <v>450</v>
      </c>
      <c r="L17" s="39"/>
      <c r="M17" s="36"/>
      <c r="N17" s="36" t="s">
        <v>4</v>
      </c>
      <c r="O17" s="37">
        <v>450</v>
      </c>
      <c r="P17" s="39"/>
      <c r="Q17" s="36"/>
      <c r="R17" s="36" t="s">
        <v>4</v>
      </c>
      <c r="S17" s="37">
        <v>450</v>
      </c>
      <c r="T17" s="39"/>
      <c r="U17" s="51"/>
      <c r="V17" s="51"/>
      <c r="W17" s="52"/>
      <c r="X17" s="39"/>
      <c r="Y17" s="36"/>
      <c r="Z17" s="36" t="s">
        <v>4</v>
      </c>
      <c r="AA17" s="37">
        <v>450</v>
      </c>
      <c r="AB17" s="48"/>
    </row>
    <row r="18" spans="1:28">
      <c r="A18" s="36"/>
      <c r="B18" s="36" t="s">
        <v>7</v>
      </c>
      <c r="C18" s="37">
        <f>(C20*6%)</f>
        <v>419.7</v>
      </c>
      <c r="D18" s="38"/>
      <c r="E18" s="36"/>
      <c r="F18" s="36" t="s">
        <v>7</v>
      </c>
      <c r="G18" s="37">
        <f>(G20*6%)</f>
        <v>479.7</v>
      </c>
      <c r="H18" s="38"/>
      <c r="I18" s="36"/>
      <c r="J18" s="36" t="s">
        <v>7</v>
      </c>
      <c r="K18" s="37">
        <f>(K20*6%)</f>
        <v>539.69999999999993</v>
      </c>
      <c r="L18" s="39"/>
      <c r="M18" s="36"/>
      <c r="N18" s="36" t="s">
        <v>7</v>
      </c>
      <c r="O18" s="37">
        <f>O20*0.06</f>
        <v>659.69999999999993</v>
      </c>
      <c r="P18" s="39"/>
      <c r="Q18" s="36"/>
      <c r="R18" s="36" t="s">
        <v>7</v>
      </c>
      <c r="S18" s="37">
        <f>S20*0.06</f>
        <v>479.7</v>
      </c>
      <c r="T18" s="39"/>
      <c r="U18" s="51"/>
      <c r="V18" s="51"/>
      <c r="W18" s="52"/>
      <c r="X18" s="39"/>
      <c r="Y18" s="36"/>
      <c r="Z18" s="36" t="s">
        <v>7</v>
      </c>
      <c r="AA18" s="37">
        <f>AA20*0.06</f>
        <v>0</v>
      </c>
      <c r="AB18" s="48"/>
    </row>
    <row r="19" spans="1:28">
      <c r="A19" s="36"/>
      <c r="B19" s="40" t="s">
        <v>8</v>
      </c>
      <c r="C19" s="37">
        <f>SUM(C16:C18)</f>
        <v>3599.7</v>
      </c>
      <c r="D19" s="38"/>
      <c r="E19" s="36"/>
      <c r="F19" s="40" t="s">
        <v>8</v>
      </c>
      <c r="G19" s="37">
        <f>SUM(G16:G18)</f>
        <v>5147.7</v>
      </c>
      <c r="H19" s="38"/>
      <c r="I19" s="36"/>
      <c r="J19" s="40" t="s">
        <v>8</v>
      </c>
      <c r="K19" s="37">
        <f>SUM(K16:K18)</f>
        <v>5432.7</v>
      </c>
      <c r="L19" s="39"/>
      <c r="M19" s="36"/>
      <c r="N19" s="40" t="s">
        <v>8</v>
      </c>
      <c r="O19" s="37">
        <f>SUM(O16:O18)</f>
        <v>6382.2</v>
      </c>
      <c r="P19" s="39"/>
      <c r="Q19" s="36"/>
      <c r="R19" s="40" t="s">
        <v>8</v>
      </c>
      <c r="S19" s="37">
        <f>SUM(S16:S18)</f>
        <v>4674.7</v>
      </c>
      <c r="T19" s="39"/>
      <c r="U19" s="51"/>
      <c r="V19" s="53"/>
      <c r="W19" s="52"/>
      <c r="X19" s="39"/>
      <c r="Y19" s="36"/>
      <c r="Z19" s="40" t="s">
        <v>8</v>
      </c>
      <c r="AA19" s="37">
        <f>SUM(AA16:AA18)</f>
        <v>4343.5</v>
      </c>
      <c r="AB19" s="48"/>
    </row>
    <row r="20" spans="1:28">
      <c r="A20" s="36"/>
      <c r="B20" s="41" t="s">
        <v>9</v>
      </c>
      <c r="C20" s="42">
        <v>6995</v>
      </c>
      <c r="D20" s="38"/>
      <c r="E20" s="36"/>
      <c r="F20" s="41" t="s">
        <v>9</v>
      </c>
      <c r="G20" s="42">
        <v>7995</v>
      </c>
      <c r="H20" s="38"/>
      <c r="I20" s="36"/>
      <c r="J20" s="41" t="s">
        <v>9</v>
      </c>
      <c r="K20" s="42">
        <v>8995</v>
      </c>
      <c r="L20" s="39"/>
      <c r="M20" s="36"/>
      <c r="N20" s="41" t="s">
        <v>9</v>
      </c>
      <c r="O20" s="42">
        <v>10995</v>
      </c>
      <c r="P20" s="39"/>
      <c r="Q20" s="36"/>
      <c r="R20" s="41" t="s">
        <v>9</v>
      </c>
      <c r="S20" s="42">
        <v>7995</v>
      </c>
      <c r="T20" s="39"/>
      <c r="U20" s="51"/>
      <c r="V20" s="53"/>
      <c r="W20" s="52"/>
      <c r="X20" s="39"/>
      <c r="Y20" s="36"/>
      <c r="Z20" s="41" t="s">
        <v>9</v>
      </c>
      <c r="AA20" s="42"/>
      <c r="AB20" s="48"/>
    </row>
    <row r="21" spans="1:28" ht="28.5">
      <c r="A21" s="43" t="s">
        <v>81</v>
      </c>
      <c r="B21" s="44">
        <f>C21/C20</f>
        <v>0.48538956397426736</v>
      </c>
      <c r="C21" s="45">
        <f>(C20-C19)</f>
        <v>3395.3</v>
      </c>
      <c r="D21" s="38"/>
      <c r="E21" s="46" t="s">
        <v>81</v>
      </c>
      <c r="F21" s="44">
        <f>G21/G20</f>
        <v>0.35613508442776737</v>
      </c>
      <c r="G21" s="45">
        <f>(G20-G19)</f>
        <v>2847.3</v>
      </c>
      <c r="H21" s="38"/>
      <c r="I21" s="46" t="s">
        <v>10</v>
      </c>
      <c r="J21" s="44">
        <f>K21/K20</f>
        <v>0.39603112840466931</v>
      </c>
      <c r="K21" s="45">
        <f>(K20-K19)</f>
        <v>3562.3</v>
      </c>
      <c r="L21" s="39"/>
      <c r="M21" s="46" t="s">
        <v>10</v>
      </c>
      <c r="N21" s="44">
        <f>O21/O20</f>
        <v>0.41953615279672579</v>
      </c>
      <c r="O21" s="45">
        <f>(O20-O19)</f>
        <v>4612.8</v>
      </c>
      <c r="P21" s="39"/>
      <c r="Q21" s="46" t="s">
        <v>10</v>
      </c>
      <c r="R21" s="44">
        <f>S21/S20</f>
        <v>0.41529706066291433</v>
      </c>
      <c r="S21" s="45">
        <f>(S20-S19)</f>
        <v>3320.3</v>
      </c>
      <c r="T21" s="39"/>
      <c r="U21" s="54"/>
      <c r="V21" s="55"/>
      <c r="W21" s="52"/>
      <c r="X21" s="39"/>
      <c r="Y21" s="46" t="s">
        <v>81</v>
      </c>
      <c r="Z21" s="44" t="e">
        <f>AA21/AA20</f>
        <v>#DIV/0!</v>
      </c>
      <c r="AA21" s="45">
        <f>(AA20-AA19)</f>
        <v>-4343.5</v>
      </c>
      <c r="AB21" s="48"/>
    </row>
    <row r="22" spans="1:28">
      <c r="A22" s="32" t="s">
        <v>95</v>
      </c>
      <c r="B22" s="38"/>
      <c r="C22" s="60"/>
      <c r="D22" s="38"/>
      <c r="E22" s="38" t="s">
        <v>11</v>
      </c>
      <c r="F22" s="38"/>
      <c r="G22" s="38"/>
      <c r="H22" s="38"/>
      <c r="I22" s="38" t="s">
        <v>11</v>
      </c>
      <c r="J22" s="38"/>
      <c r="K22" s="38"/>
      <c r="L22" s="39"/>
      <c r="M22" s="38" t="s">
        <v>11</v>
      </c>
      <c r="N22" s="38"/>
      <c r="O22" s="38"/>
      <c r="P22" s="39"/>
      <c r="Q22" s="38" t="s">
        <v>11</v>
      </c>
      <c r="R22" s="38"/>
      <c r="S22" s="38"/>
      <c r="T22" s="39"/>
      <c r="U22" s="51"/>
      <c r="V22" s="51"/>
      <c r="W22" s="51"/>
      <c r="X22" s="39"/>
      <c r="Y22" s="36"/>
      <c r="Z22" s="36"/>
      <c r="AA22" s="36"/>
      <c r="AB22" s="48"/>
    </row>
    <row r="23" spans="1:28">
      <c r="A23" s="35" t="s">
        <v>96</v>
      </c>
      <c r="B23" s="36" t="s">
        <v>9</v>
      </c>
      <c r="C23" s="37">
        <v>5253</v>
      </c>
      <c r="D23" s="48"/>
      <c r="E23" s="35" t="s">
        <v>97</v>
      </c>
      <c r="F23" s="36" t="s">
        <v>9</v>
      </c>
      <c r="G23" s="37">
        <v>4468</v>
      </c>
      <c r="H23" s="48"/>
      <c r="I23" s="35" t="s">
        <v>98</v>
      </c>
      <c r="J23" s="36" t="s">
        <v>9</v>
      </c>
      <c r="K23" s="37">
        <v>5803</v>
      </c>
      <c r="L23" s="39"/>
      <c r="M23" s="35" t="s">
        <v>99</v>
      </c>
      <c r="N23" s="36" t="s">
        <v>9</v>
      </c>
      <c r="O23" s="37">
        <v>6269</v>
      </c>
      <c r="P23" s="39"/>
      <c r="Q23" s="49" t="s">
        <v>100</v>
      </c>
      <c r="R23" s="36" t="s">
        <v>9</v>
      </c>
      <c r="S23" s="37">
        <v>3495</v>
      </c>
      <c r="T23" s="39"/>
      <c r="U23" s="56"/>
      <c r="V23" s="51"/>
      <c r="W23" s="52"/>
      <c r="X23" s="39"/>
      <c r="Y23" s="35" t="s">
        <v>101</v>
      </c>
      <c r="Z23" s="36" t="s">
        <v>9</v>
      </c>
      <c r="AA23" s="37">
        <v>5275</v>
      </c>
      <c r="AB23" s="48"/>
    </row>
    <row r="24" spans="1:28">
      <c r="A24" s="36"/>
      <c r="B24" s="36" t="s">
        <v>4</v>
      </c>
      <c r="C24" s="37">
        <v>595</v>
      </c>
      <c r="D24" s="48"/>
      <c r="E24" s="36"/>
      <c r="F24" s="36" t="s">
        <v>4</v>
      </c>
      <c r="G24" s="37">
        <v>450</v>
      </c>
      <c r="H24" s="48"/>
      <c r="I24" s="36"/>
      <c r="J24" s="36" t="s">
        <v>4</v>
      </c>
      <c r="K24" s="37">
        <v>381</v>
      </c>
      <c r="L24" s="39"/>
      <c r="M24" s="36"/>
      <c r="N24" s="36" t="s">
        <v>4</v>
      </c>
      <c r="O24" s="37">
        <v>450</v>
      </c>
      <c r="P24" s="39"/>
      <c r="Q24" s="36"/>
      <c r="R24" s="36" t="s">
        <v>4</v>
      </c>
      <c r="S24" s="37">
        <v>450</v>
      </c>
      <c r="T24" s="39"/>
      <c r="U24" s="51"/>
      <c r="V24" s="51"/>
      <c r="W24" s="52"/>
      <c r="X24" s="39"/>
      <c r="Y24" s="36"/>
      <c r="Z24" s="36" t="s">
        <v>4</v>
      </c>
      <c r="AA24" s="37">
        <v>450</v>
      </c>
      <c r="AB24" s="48"/>
    </row>
    <row r="25" spans="1:28">
      <c r="A25" s="36"/>
      <c r="B25" s="36" t="s">
        <v>7</v>
      </c>
      <c r="C25" s="37">
        <f>(C27*6%)</f>
        <v>659.69999999999993</v>
      </c>
      <c r="D25" s="48"/>
      <c r="E25" s="36"/>
      <c r="F25" s="36" t="s">
        <v>7</v>
      </c>
      <c r="G25" s="37">
        <f>(G27*6%)</f>
        <v>509.7</v>
      </c>
      <c r="H25" s="48"/>
      <c r="I25" s="36"/>
      <c r="J25" s="36" t="s">
        <v>7</v>
      </c>
      <c r="K25" s="37">
        <f>(K27*6%)</f>
        <v>599.69999999999993</v>
      </c>
      <c r="L25" s="39"/>
      <c r="M25" s="36"/>
      <c r="N25" s="36" t="s">
        <v>7</v>
      </c>
      <c r="O25" s="37">
        <f>O27*0.06</f>
        <v>779.69999999999993</v>
      </c>
      <c r="P25" s="39"/>
      <c r="Q25" s="36"/>
      <c r="R25" s="36" t="s">
        <v>7</v>
      </c>
      <c r="S25" s="37">
        <f>S27*0.06</f>
        <v>479.7</v>
      </c>
      <c r="T25" s="39"/>
      <c r="U25" s="51"/>
      <c r="V25" s="51"/>
      <c r="W25" s="52"/>
      <c r="X25" s="39"/>
      <c r="Y25" s="36"/>
      <c r="Z25" s="36" t="s">
        <v>7</v>
      </c>
      <c r="AA25" s="37">
        <f>AA27*0.06</f>
        <v>0</v>
      </c>
      <c r="AB25" s="48"/>
    </row>
    <row r="26" spans="1:28">
      <c r="A26" s="36"/>
      <c r="B26" s="40" t="s">
        <v>8</v>
      </c>
      <c r="C26" s="37">
        <f>SUM(C23:C25)</f>
        <v>6507.7</v>
      </c>
      <c r="D26" s="48"/>
      <c r="E26" s="36"/>
      <c r="F26" s="40" t="s">
        <v>8</v>
      </c>
      <c r="G26" s="37">
        <f>SUM(G23:G25)</f>
        <v>5427.7</v>
      </c>
      <c r="H26" s="48"/>
      <c r="I26" s="36"/>
      <c r="J26" s="40" t="s">
        <v>8</v>
      </c>
      <c r="K26" s="37">
        <f>SUM(K23:K25)</f>
        <v>6783.7</v>
      </c>
      <c r="L26" s="39"/>
      <c r="M26" s="36"/>
      <c r="N26" s="40" t="s">
        <v>8</v>
      </c>
      <c r="O26" s="37">
        <f>SUM(O23:O25)</f>
        <v>7498.7</v>
      </c>
      <c r="P26" s="39"/>
      <c r="Q26" s="36"/>
      <c r="R26" s="40" t="s">
        <v>8</v>
      </c>
      <c r="S26" s="37">
        <f>SUM(S23:S25)</f>
        <v>4424.7</v>
      </c>
      <c r="T26" s="39"/>
      <c r="U26" s="51"/>
      <c r="V26" s="53"/>
      <c r="W26" s="52"/>
      <c r="X26" s="39"/>
      <c r="Y26" s="36"/>
      <c r="Z26" s="40" t="s">
        <v>8</v>
      </c>
      <c r="AA26" s="37">
        <f>SUM(AA23:AA25)</f>
        <v>5725</v>
      </c>
      <c r="AB26" s="48"/>
    </row>
    <row r="27" spans="1:28">
      <c r="A27" s="36"/>
      <c r="B27" s="41" t="s">
        <v>9</v>
      </c>
      <c r="C27" s="42">
        <v>10995</v>
      </c>
      <c r="D27" s="48"/>
      <c r="E27" s="36"/>
      <c r="F27" s="41" t="s">
        <v>9</v>
      </c>
      <c r="G27" s="42">
        <v>8495</v>
      </c>
      <c r="H27" s="48"/>
      <c r="I27" s="36"/>
      <c r="J27" s="41" t="s">
        <v>9</v>
      </c>
      <c r="K27" s="42">
        <v>9995</v>
      </c>
      <c r="L27" s="39"/>
      <c r="M27" s="36"/>
      <c r="N27" s="41" t="s">
        <v>9</v>
      </c>
      <c r="O27" s="42">
        <v>12995</v>
      </c>
      <c r="P27" s="39"/>
      <c r="Q27" s="36"/>
      <c r="R27" s="41" t="s">
        <v>9</v>
      </c>
      <c r="S27" s="42">
        <v>7995</v>
      </c>
      <c r="T27" s="39"/>
      <c r="U27" s="51"/>
      <c r="V27" s="53"/>
      <c r="W27" s="52"/>
      <c r="X27" s="39"/>
      <c r="Y27" s="36"/>
      <c r="Z27" s="41" t="s">
        <v>9</v>
      </c>
      <c r="AA27" s="42"/>
      <c r="AB27" s="48"/>
    </row>
    <row r="28" spans="1:28" ht="28.5">
      <c r="A28" s="43" t="s">
        <v>81</v>
      </c>
      <c r="B28" s="44">
        <f>C28/C27</f>
        <v>0.40812187357889951</v>
      </c>
      <c r="C28" s="45">
        <f>(C27-C26)</f>
        <v>4487.3</v>
      </c>
      <c r="D28" s="48"/>
      <c r="E28" s="46" t="s">
        <v>81</v>
      </c>
      <c r="F28" s="44">
        <f>G28/G27</f>
        <v>0.3610712183637434</v>
      </c>
      <c r="G28" s="45">
        <f>(G27-G26)</f>
        <v>3067.3</v>
      </c>
      <c r="H28" s="48"/>
      <c r="I28" s="46" t="s">
        <v>81</v>
      </c>
      <c r="J28" s="44">
        <f>K28/K27</f>
        <v>0.32129064532266133</v>
      </c>
      <c r="K28" s="45">
        <f>(K27-K26)</f>
        <v>3211.3</v>
      </c>
      <c r="L28" s="39"/>
      <c r="M28" s="46" t="s">
        <v>81</v>
      </c>
      <c r="N28" s="44">
        <f>O28/O27</f>
        <v>0.42295498268564835</v>
      </c>
      <c r="O28" s="45">
        <f>(O27-O26)</f>
        <v>5496.3</v>
      </c>
      <c r="P28" s="39"/>
      <c r="Q28" s="46" t="s">
        <v>81</v>
      </c>
      <c r="R28" s="44">
        <f>S28/S27</f>
        <v>0.44656660412757976</v>
      </c>
      <c r="S28" s="45">
        <f>(S27-S26)</f>
        <v>3570.3</v>
      </c>
      <c r="T28" s="39"/>
      <c r="U28" s="54"/>
      <c r="V28" s="55"/>
      <c r="W28" s="52"/>
      <c r="X28" s="39"/>
      <c r="Y28" s="46" t="s">
        <v>81</v>
      </c>
      <c r="Z28" s="44" t="e">
        <f>AA28/AA27</f>
        <v>#DIV/0!</v>
      </c>
      <c r="AA28" s="45">
        <f>(AA27-AA26)</f>
        <v>-5725</v>
      </c>
      <c r="AB28" s="48"/>
    </row>
    <row r="29" spans="1:28">
      <c r="A29" s="38" t="s">
        <v>11</v>
      </c>
      <c r="B29" s="38"/>
      <c r="C29" s="60"/>
      <c r="D29" s="48"/>
      <c r="E29" s="38" t="s">
        <v>11</v>
      </c>
      <c r="F29" s="38"/>
      <c r="G29" s="38"/>
      <c r="H29" s="48"/>
      <c r="I29" s="32"/>
      <c r="J29" s="47"/>
      <c r="K29" s="47"/>
      <c r="L29" s="39"/>
      <c r="M29" s="32"/>
      <c r="N29" s="47"/>
      <c r="O29" s="47"/>
      <c r="P29" s="39"/>
      <c r="Q29" s="32"/>
      <c r="R29" s="47"/>
      <c r="S29" s="47"/>
      <c r="T29" s="39"/>
      <c r="U29" s="57"/>
      <c r="V29" s="58"/>
      <c r="W29" s="58"/>
      <c r="X29" s="39"/>
      <c r="Y29" s="36"/>
      <c r="Z29" s="36"/>
      <c r="AA29" s="36"/>
      <c r="AB29" s="48"/>
    </row>
    <row r="30" spans="1:28">
      <c r="D30" s="48"/>
      <c r="E30" s="35" t="s">
        <v>102</v>
      </c>
      <c r="F30" s="36" t="s">
        <v>1</v>
      </c>
      <c r="G30" s="37">
        <v>5293</v>
      </c>
      <c r="H30" s="48"/>
      <c r="I30" s="35" t="s">
        <v>103</v>
      </c>
      <c r="J30" s="36" t="s">
        <v>9</v>
      </c>
      <c r="K30" s="37">
        <v>6443</v>
      </c>
      <c r="L30" s="39"/>
      <c r="M30" s="51"/>
      <c r="N30" s="51"/>
      <c r="O30" s="52"/>
      <c r="P30" s="39"/>
      <c r="Q30" s="49" t="s">
        <v>104</v>
      </c>
      <c r="R30" s="36" t="s">
        <v>9</v>
      </c>
      <c r="S30" s="37">
        <v>3895</v>
      </c>
      <c r="T30" s="39"/>
      <c r="U30" s="56"/>
      <c r="V30" s="51"/>
      <c r="W30" s="52"/>
      <c r="X30" s="39"/>
      <c r="Y30" s="35" t="s">
        <v>105</v>
      </c>
      <c r="Z30" s="36" t="s">
        <v>9</v>
      </c>
      <c r="AA30" s="37">
        <v>6495</v>
      </c>
      <c r="AB30" s="48"/>
    </row>
    <row r="31" spans="1:28">
      <c r="D31" s="48"/>
      <c r="E31" s="36"/>
      <c r="F31" s="36" t="s">
        <v>4</v>
      </c>
      <c r="G31" s="37">
        <v>450</v>
      </c>
      <c r="H31" s="48"/>
      <c r="I31" s="36"/>
      <c r="J31" s="36" t="s">
        <v>4</v>
      </c>
      <c r="K31" s="37">
        <v>381</v>
      </c>
      <c r="L31" s="39"/>
      <c r="M31" s="51"/>
      <c r="N31" s="51"/>
      <c r="O31" s="52"/>
      <c r="P31" s="39"/>
      <c r="Q31" s="36"/>
      <c r="R31" s="36" t="s">
        <v>4</v>
      </c>
      <c r="S31" s="37">
        <v>450</v>
      </c>
      <c r="T31" s="39"/>
      <c r="U31" s="51"/>
      <c r="V31" s="51"/>
      <c r="W31" s="52"/>
      <c r="X31" s="39"/>
      <c r="Y31" s="36"/>
      <c r="Z31" s="36" t="s">
        <v>4</v>
      </c>
      <c r="AA31" s="37">
        <v>450</v>
      </c>
      <c r="AB31" s="48"/>
    </row>
    <row r="32" spans="1:28">
      <c r="D32" s="48"/>
      <c r="E32" s="36"/>
      <c r="F32" s="36" t="s">
        <v>7</v>
      </c>
      <c r="G32" s="37">
        <f>(G34*6%)</f>
        <v>599.69999999999993</v>
      </c>
      <c r="H32" s="48"/>
      <c r="I32" s="36"/>
      <c r="J32" s="36" t="s">
        <v>7</v>
      </c>
      <c r="K32" s="37">
        <f>(K34*6%)</f>
        <v>659.69999999999993</v>
      </c>
      <c r="L32" s="39"/>
      <c r="M32" s="51"/>
      <c r="N32" s="51"/>
      <c r="O32" s="52"/>
      <c r="P32" s="39"/>
      <c r="Q32" s="36"/>
      <c r="R32" s="36" t="s">
        <v>7</v>
      </c>
      <c r="S32" s="37">
        <f>S34*0.06</f>
        <v>539.69999999999993</v>
      </c>
      <c r="T32" s="39"/>
      <c r="U32" s="51"/>
      <c r="V32" s="51"/>
      <c r="W32" s="52"/>
      <c r="X32" s="39"/>
      <c r="Y32" s="36"/>
      <c r="Z32" s="36" t="s">
        <v>7</v>
      </c>
      <c r="AA32" s="37">
        <f>AA34*0.06</f>
        <v>0</v>
      </c>
      <c r="AB32" s="48"/>
    </row>
    <row r="33" spans="4:28">
      <c r="D33" s="48"/>
      <c r="E33" s="36"/>
      <c r="F33" s="40" t="s">
        <v>8</v>
      </c>
      <c r="G33" s="37">
        <f>SUM(G30:G32)</f>
        <v>6342.7</v>
      </c>
      <c r="H33" s="48"/>
      <c r="I33" s="36"/>
      <c r="J33" s="40" t="s">
        <v>8</v>
      </c>
      <c r="K33" s="37">
        <f>SUM(K30:K32)</f>
        <v>7483.7</v>
      </c>
      <c r="L33" s="39"/>
      <c r="M33" s="51"/>
      <c r="N33" s="53"/>
      <c r="O33" s="52"/>
      <c r="P33" s="39"/>
      <c r="Q33" s="36"/>
      <c r="R33" s="40" t="s">
        <v>8</v>
      </c>
      <c r="S33" s="37">
        <f>SUM(S30:S32)</f>
        <v>4884.7</v>
      </c>
      <c r="T33" s="39"/>
      <c r="U33" s="51"/>
      <c r="V33" s="53"/>
      <c r="W33" s="52"/>
      <c r="X33" s="39"/>
      <c r="Y33" s="36"/>
      <c r="Z33" s="40" t="s">
        <v>8</v>
      </c>
      <c r="AA33" s="37">
        <f>SUM(AA30:AA32)</f>
        <v>6945</v>
      </c>
      <c r="AB33" s="48"/>
    </row>
    <row r="34" spans="4:28">
      <c r="D34" s="48"/>
      <c r="E34" s="36"/>
      <c r="F34" s="41" t="s">
        <v>9</v>
      </c>
      <c r="G34" s="42">
        <v>9995</v>
      </c>
      <c r="H34" s="48"/>
      <c r="I34" s="36"/>
      <c r="J34" s="41" t="s">
        <v>9</v>
      </c>
      <c r="K34" s="42">
        <v>10995</v>
      </c>
      <c r="L34" s="39"/>
      <c r="M34" s="51"/>
      <c r="N34" s="53"/>
      <c r="O34" s="52"/>
      <c r="P34" s="39"/>
      <c r="Q34" s="36"/>
      <c r="R34" s="41" t="s">
        <v>9</v>
      </c>
      <c r="S34" s="42">
        <v>8995</v>
      </c>
      <c r="T34" s="39"/>
      <c r="U34" s="51"/>
      <c r="V34" s="53"/>
      <c r="W34" s="52"/>
      <c r="X34" s="39"/>
      <c r="Y34" s="36"/>
      <c r="Z34" s="41" t="s">
        <v>9</v>
      </c>
      <c r="AA34" s="42"/>
      <c r="AB34" s="48"/>
    </row>
    <row r="35" spans="4:28">
      <c r="D35" s="48"/>
      <c r="E35" s="46" t="s">
        <v>81</v>
      </c>
      <c r="F35" s="44">
        <f>G35/G34</f>
        <v>0.36541270635317663</v>
      </c>
      <c r="G35" s="45">
        <f>(G34-G33)</f>
        <v>3652.3</v>
      </c>
      <c r="H35" s="48"/>
      <c r="I35" s="46" t="s">
        <v>81</v>
      </c>
      <c r="J35" s="44">
        <f>K35/K34</f>
        <v>0.31935425193269668</v>
      </c>
      <c r="K35" s="45">
        <f>(K34-K33)</f>
        <v>3511.3</v>
      </c>
      <c r="L35" s="39"/>
      <c r="M35" s="54"/>
      <c r="N35" s="55"/>
      <c r="O35" s="52"/>
      <c r="P35" s="39"/>
      <c r="Q35" s="46" t="s">
        <v>81</v>
      </c>
      <c r="R35" s="44">
        <f>S35/S34</f>
        <v>0.4569538632573652</v>
      </c>
      <c r="S35" s="45">
        <f>(S34-S33)</f>
        <v>4110.3</v>
      </c>
      <c r="T35" s="39"/>
      <c r="U35" s="54"/>
      <c r="V35" s="55"/>
      <c r="W35" s="52"/>
      <c r="X35" s="39"/>
      <c r="Y35" s="46" t="s">
        <v>81</v>
      </c>
      <c r="Z35" s="44" t="e">
        <f>AA35/AA34</f>
        <v>#DIV/0!</v>
      </c>
      <c r="AA35" s="45">
        <f>(AA34-AA33)</f>
        <v>-6945</v>
      </c>
      <c r="AB35" s="48"/>
    </row>
    <row r="36" spans="4:28">
      <c r="D36" s="48"/>
      <c r="E36" s="38" t="s">
        <v>11</v>
      </c>
      <c r="F36" s="38"/>
      <c r="G36" s="38"/>
      <c r="H36" s="48"/>
      <c r="I36" s="32"/>
      <c r="J36" s="47"/>
      <c r="K36" s="47"/>
      <c r="L36" s="39"/>
      <c r="M36" s="57"/>
      <c r="N36" s="58"/>
      <c r="O36" s="58"/>
      <c r="P36" s="39"/>
      <c r="Q36" s="32"/>
      <c r="R36" s="47"/>
      <c r="S36" s="47"/>
      <c r="T36" s="39"/>
      <c r="U36" s="57"/>
      <c r="V36" s="58"/>
      <c r="W36" s="58"/>
      <c r="X36" s="39"/>
      <c r="Y36" s="36"/>
      <c r="Z36" s="36"/>
      <c r="AA36" s="36"/>
      <c r="AB36" s="48"/>
    </row>
    <row r="37" spans="4:28">
      <c r="D37" s="48"/>
      <c r="E37" s="35" t="s">
        <v>106</v>
      </c>
      <c r="F37" s="36" t="s">
        <v>1</v>
      </c>
      <c r="G37" s="37">
        <v>4218</v>
      </c>
      <c r="H37" s="48"/>
      <c r="I37" s="32" t="s">
        <v>107</v>
      </c>
      <c r="J37" s="32" t="s">
        <v>108</v>
      </c>
      <c r="K37" s="48"/>
      <c r="X37" s="48"/>
      <c r="Y37" s="35" t="s">
        <v>109</v>
      </c>
      <c r="Z37" s="36" t="s">
        <v>9</v>
      </c>
      <c r="AA37" s="37">
        <v>5950</v>
      </c>
      <c r="AB37" s="48"/>
    </row>
    <row r="38" spans="4:28">
      <c r="D38" s="48"/>
      <c r="E38" s="36"/>
      <c r="F38" s="36" t="s">
        <v>4</v>
      </c>
      <c r="G38" s="37">
        <v>450</v>
      </c>
      <c r="H38" s="48"/>
      <c r="I38" s="34" t="s">
        <v>110</v>
      </c>
      <c r="J38" s="50">
        <v>10370</v>
      </c>
      <c r="K38" s="48"/>
      <c r="X38" s="48"/>
      <c r="Y38" s="36"/>
      <c r="Z38" s="36" t="s">
        <v>4</v>
      </c>
      <c r="AA38" s="37">
        <v>450</v>
      </c>
      <c r="AB38" s="48"/>
    </row>
    <row r="39" spans="4:28">
      <c r="D39" s="48"/>
      <c r="E39" s="36"/>
      <c r="F39" s="36" t="s">
        <v>7</v>
      </c>
      <c r="G39" s="37">
        <f>(G41*6%)</f>
        <v>539.69999999999993</v>
      </c>
      <c r="H39" s="48"/>
      <c r="I39" s="34" t="s">
        <v>111</v>
      </c>
      <c r="J39" s="50">
        <v>10800</v>
      </c>
      <c r="K39" s="48"/>
      <c r="X39" s="48"/>
      <c r="Y39" s="36"/>
      <c r="Z39" s="36" t="s">
        <v>7</v>
      </c>
      <c r="AA39" s="37">
        <f>AA41*0.06</f>
        <v>0</v>
      </c>
      <c r="AB39" s="48"/>
    </row>
    <row r="40" spans="4:28">
      <c r="D40" s="48"/>
      <c r="E40" s="36"/>
      <c r="F40" s="40" t="s">
        <v>8</v>
      </c>
      <c r="G40" s="37">
        <f>SUM(G37:G39)</f>
        <v>5207.7</v>
      </c>
      <c r="H40" s="48"/>
      <c r="I40" s="34" t="s">
        <v>112</v>
      </c>
      <c r="J40" s="50">
        <v>11340</v>
      </c>
      <c r="K40" s="48"/>
      <c r="X40" s="48"/>
      <c r="Y40" s="36"/>
      <c r="Z40" s="40" t="s">
        <v>8</v>
      </c>
      <c r="AA40" s="37">
        <f>SUM(AA37:AA39)</f>
        <v>6400</v>
      </c>
      <c r="AB40" s="48"/>
    </row>
    <row r="41" spans="4:28">
      <c r="D41" s="48"/>
      <c r="E41" s="36"/>
      <c r="F41" s="41" t="s">
        <v>9</v>
      </c>
      <c r="G41" s="42">
        <v>8995</v>
      </c>
      <c r="H41" s="48"/>
      <c r="I41" s="34" t="s">
        <v>113</v>
      </c>
      <c r="J41" s="50">
        <v>12420</v>
      </c>
      <c r="K41" s="48"/>
      <c r="X41" s="48"/>
      <c r="Y41" s="36"/>
      <c r="Z41" s="41" t="s">
        <v>9</v>
      </c>
      <c r="AA41" s="42"/>
      <c r="AB41" s="48"/>
    </row>
    <row r="42" spans="4:28">
      <c r="D42" s="48"/>
      <c r="E42" s="46" t="s">
        <v>81</v>
      </c>
      <c r="F42" s="44">
        <f>G42/G41</f>
        <v>0.42104502501389662</v>
      </c>
      <c r="G42" s="45">
        <f>G41-G40</f>
        <v>3787.3</v>
      </c>
      <c r="H42" s="48"/>
      <c r="I42" s="34" t="s">
        <v>114</v>
      </c>
      <c r="J42" s="50">
        <v>10040</v>
      </c>
      <c r="K42" s="48"/>
      <c r="X42" s="48"/>
      <c r="Y42" s="46" t="s">
        <v>81</v>
      </c>
      <c r="Z42" s="44" t="e">
        <f>AA42/AA41</f>
        <v>#DIV/0!</v>
      </c>
      <c r="AA42" s="45">
        <f>(AA41-AA40)</f>
        <v>-6400</v>
      </c>
      <c r="AB42" s="48"/>
    </row>
    <row r="43" spans="4:28">
      <c r="D43" s="48"/>
      <c r="E43" s="38" t="s">
        <v>11</v>
      </c>
      <c r="F43" s="38"/>
      <c r="G43" s="38"/>
      <c r="H43" s="48"/>
      <c r="I43" s="34" t="s">
        <v>115</v>
      </c>
      <c r="J43" s="50">
        <v>15120</v>
      </c>
      <c r="K43" s="48"/>
      <c r="X43" s="48"/>
      <c r="Y43" s="36"/>
      <c r="Z43" s="36"/>
      <c r="AA43" s="36"/>
      <c r="AB43" s="48"/>
    </row>
    <row r="44" spans="4:28">
      <c r="H44" s="48"/>
      <c r="I44" s="34" t="s">
        <v>116</v>
      </c>
      <c r="J44" s="50">
        <v>16200</v>
      </c>
      <c r="K44" s="48"/>
      <c r="X44" s="48"/>
      <c r="Y44" s="35" t="s">
        <v>117</v>
      </c>
      <c r="Z44" s="36" t="s">
        <v>9</v>
      </c>
      <c r="AA44" s="37">
        <v>5950</v>
      </c>
      <c r="AB44" s="48"/>
    </row>
    <row r="45" spans="4:28">
      <c r="H45" s="48"/>
      <c r="I45" s="48"/>
      <c r="J45" s="48"/>
      <c r="K45" s="48"/>
      <c r="X45" s="48"/>
      <c r="Y45" s="36"/>
      <c r="Z45" s="36" t="s">
        <v>4</v>
      </c>
      <c r="AA45" s="37">
        <v>450</v>
      </c>
      <c r="AB45" s="48"/>
    </row>
    <row r="46" spans="4:28">
      <c r="X46" s="48"/>
      <c r="Y46" s="36"/>
      <c r="Z46" s="36" t="s">
        <v>7</v>
      </c>
      <c r="AA46" s="37">
        <f>AA48*0.06</f>
        <v>0</v>
      </c>
      <c r="AB46" s="48"/>
    </row>
    <row r="47" spans="4:28">
      <c r="X47" s="48"/>
      <c r="Y47" s="36"/>
      <c r="Z47" s="40" t="s">
        <v>8</v>
      </c>
      <c r="AA47" s="37">
        <f>SUM(AA44:AA46)</f>
        <v>6400</v>
      </c>
      <c r="AB47" s="48"/>
    </row>
    <row r="48" spans="4:28">
      <c r="X48" s="48"/>
      <c r="Y48" s="36"/>
      <c r="Z48" s="41" t="s">
        <v>9</v>
      </c>
      <c r="AA48" s="42"/>
      <c r="AB48" s="48"/>
    </row>
    <row r="49" spans="23:29">
      <c r="X49" s="48"/>
      <c r="Y49" s="46" t="s">
        <v>81</v>
      </c>
      <c r="Z49" s="44" t="e">
        <f>AA49/AA48</f>
        <v>#DIV/0!</v>
      </c>
      <c r="AA49" s="45">
        <f>(AA48-AA47)</f>
        <v>-6400</v>
      </c>
      <c r="AB49" s="48"/>
    </row>
    <row r="50" spans="23:29">
      <c r="X50" s="48"/>
      <c r="Y50" s="38"/>
      <c r="Z50" s="38"/>
      <c r="AA50" s="38"/>
      <c r="AB50" s="48"/>
    </row>
    <row r="51" spans="23:29">
      <c r="W51" s="64"/>
      <c r="X51" s="64"/>
      <c r="Y51" s="51"/>
      <c r="Z51" s="51"/>
      <c r="AA51" s="52"/>
      <c r="AB51" s="64"/>
      <c r="AC51" s="64"/>
    </row>
    <row r="52" spans="23:29">
      <c r="W52" s="64"/>
      <c r="X52" s="64"/>
      <c r="Y52" s="51"/>
      <c r="Z52" s="51"/>
      <c r="AA52" s="52"/>
      <c r="AB52" s="64"/>
      <c r="AC52" s="64"/>
    </row>
    <row r="53" spans="23:29">
      <c r="W53" s="64"/>
      <c r="X53" s="64"/>
      <c r="Y53" s="51"/>
      <c r="Z53" s="51"/>
      <c r="AA53" s="52"/>
      <c r="AB53" s="64"/>
      <c r="AC53" s="64"/>
    </row>
    <row r="54" spans="23:29">
      <c r="W54" s="64"/>
      <c r="X54" s="64"/>
      <c r="Y54" s="51"/>
      <c r="Z54" s="53"/>
      <c r="AA54" s="52"/>
      <c r="AB54" s="64"/>
      <c r="AC54" s="64"/>
    </row>
    <row r="55" spans="23:29">
      <c r="W55" s="64"/>
      <c r="X55" s="64"/>
      <c r="Y55" s="51"/>
      <c r="Z55" s="53"/>
      <c r="AA55" s="52"/>
      <c r="AB55" s="64"/>
      <c r="AC55" s="64"/>
    </row>
    <row r="56" spans="23:29">
      <c r="W56" s="64"/>
      <c r="X56" s="64"/>
      <c r="Y56" s="54"/>
      <c r="Z56" s="55"/>
      <c r="AA56" s="52"/>
      <c r="AB56" s="64"/>
      <c r="AC56" s="64"/>
    </row>
    <row r="57" spans="23:29">
      <c r="W57" s="64"/>
      <c r="X57" s="64"/>
      <c r="Y57" s="51"/>
      <c r="Z57" s="51"/>
      <c r="AA57" s="51"/>
      <c r="AB57" s="64"/>
      <c r="AC57" s="64"/>
    </row>
    <row r="58" spans="23:29">
      <c r="W58" s="64"/>
      <c r="X58" s="64"/>
      <c r="Y58" s="51"/>
      <c r="Z58" s="51"/>
      <c r="AA58" s="52"/>
      <c r="AB58" s="64"/>
      <c r="AC58" s="64"/>
    </row>
    <row r="59" spans="23:29">
      <c r="W59" s="64"/>
      <c r="X59" s="64"/>
      <c r="Y59" s="51"/>
      <c r="Z59" s="51"/>
      <c r="AA59" s="52"/>
      <c r="AB59" s="64"/>
      <c r="AC59" s="64"/>
    </row>
    <row r="60" spans="23:29">
      <c r="W60" s="64"/>
      <c r="X60" s="64"/>
      <c r="Y60" s="51"/>
      <c r="Z60" s="51"/>
      <c r="AA60" s="52"/>
      <c r="AB60" s="64"/>
      <c r="AC60" s="64"/>
    </row>
    <row r="61" spans="23:29">
      <c r="W61" s="64"/>
      <c r="X61" s="64"/>
      <c r="Y61" s="51"/>
      <c r="Z61" s="53"/>
      <c r="AA61" s="52"/>
      <c r="AB61" s="64"/>
      <c r="AC61" s="64"/>
    </row>
    <row r="62" spans="23:29">
      <c r="W62" s="64"/>
      <c r="X62" s="64"/>
      <c r="Y62" s="51"/>
      <c r="Z62" s="53"/>
      <c r="AA62" s="52"/>
      <c r="AB62" s="64"/>
      <c r="AC62" s="64"/>
    </row>
    <row r="63" spans="23:29">
      <c r="W63" s="64"/>
      <c r="X63" s="64"/>
      <c r="Y63" s="54"/>
      <c r="Z63" s="55"/>
      <c r="AA63" s="52"/>
      <c r="AB63" s="64"/>
      <c r="AC63" s="64"/>
    </row>
    <row r="64" spans="23:29">
      <c r="W64" s="64"/>
      <c r="X64" s="64"/>
      <c r="Y64" s="51"/>
      <c r="Z64" s="51"/>
      <c r="AA64" s="51"/>
      <c r="AB64" s="64"/>
      <c r="AC64" s="64"/>
    </row>
    <row r="65" spans="25:27">
      <c r="Y65" s="36"/>
      <c r="Z65" s="36"/>
      <c r="AA65" s="36"/>
    </row>
    <row r="66" spans="25:27">
      <c r="Y66" s="36"/>
      <c r="Z66" s="36"/>
      <c r="AA66" s="36"/>
    </row>
    <row r="67" spans="25:27">
      <c r="Y67" s="36"/>
      <c r="Z67" s="36"/>
      <c r="AA67" s="36"/>
    </row>
    <row r="68" spans="25:27">
      <c r="Y68" s="36"/>
      <c r="Z68" s="36"/>
      <c r="AA68" s="36"/>
    </row>
    <row r="69" spans="25:27">
      <c r="Y69" s="36"/>
      <c r="Z69" s="36"/>
      <c r="AA69" s="36"/>
    </row>
    <row r="70" spans="25:27">
      <c r="Y70" s="36"/>
      <c r="Z70" s="36"/>
      <c r="AA70" s="36"/>
    </row>
    <row r="71" spans="25:27">
      <c r="Y71" s="36"/>
      <c r="Z71" s="36"/>
      <c r="AA71" s="36"/>
    </row>
    <row r="72" spans="25:27">
      <c r="Y72" s="36"/>
      <c r="Z72" s="36"/>
      <c r="AA72" s="36"/>
    </row>
    <row r="73" spans="25:27">
      <c r="Y73" s="36"/>
      <c r="Z73" s="36"/>
      <c r="AA73" s="36"/>
    </row>
    <row r="74" spans="25:27">
      <c r="Y74" s="36"/>
      <c r="Z74" s="36"/>
      <c r="AA74" s="36"/>
    </row>
    <row r="75" spans="25:27">
      <c r="Y75" s="36"/>
      <c r="Z75" s="36"/>
      <c r="AA75" s="36"/>
    </row>
    <row r="76" spans="25:27">
      <c r="Y76" s="36"/>
      <c r="Z76" s="36"/>
      <c r="AA76" s="36"/>
    </row>
    <row r="77" spans="25:27">
      <c r="Y77" s="36"/>
      <c r="Z77" s="36"/>
      <c r="AA77" s="36"/>
    </row>
    <row r="78" spans="25:27">
      <c r="Y78" s="36"/>
      <c r="Z78" s="36"/>
      <c r="AA78" s="36"/>
    </row>
    <row r="79" spans="25:27">
      <c r="Y79" s="36"/>
      <c r="Z79" s="36"/>
      <c r="AA79" s="36"/>
    </row>
    <row r="80" spans="25:27">
      <c r="Y80" s="36"/>
      <c r="Z80" s="36"/>
      <c r="AA80" s="36"/>
    </row>
    <row r="81" spans="25:27">
      <c r="Y81" s="36"/>
      <c r="Z81" s="36"/>
      <c r="AA81" s="36"/>
    </row>
    <row r="82" spans="25:27">
      <c r="Y82" s="36"/>
      <c r="Z82" s="36"/>
      <c r="AA82" s="36"/>
    </row>
    <row r="83" spans="25:27">
      <c r="Y83" s="36"/>
      <c r="Z83" s="36"/>
      <c r="AA83" s="36"/>
    </row>
    <row r="84" spans="25:27">
      <c r="Y84" s="36"/>
      <c r="Z84" s="36"/>
      <c r="AA84" s="36"/>
    </row>
    <row r="85" spans="25:27">
      <c r="Y85" s="36"/>
      <c r="Z85" s="36"/>
      <c r="AA85" s="36"/>
    </row>
    <row r="86" spans="25:27">
      <c r="Y86" s="36"/>
      <c r="Z86" s="36"/>
      <c r="AA86" s="36"/>
    </row>
    <row r="87" spans="25:27">
      <c r="Y87" s="36"/>
      <c r="Z87" s="36"/>
      <c r="AA87" s="36"/>
    </row>
    <row r="88" spans="25:27">
      <c r="Y88" s="36"/>
      <c r="Z88" s="36"/>
      <c r="AA88" s="36"/>
    </row>
    <row r="89" spans="25:27">
      <c r="Y89" s="36"/>
      <c r="Z89" s="36"/>
      <c r="AA89" s="36"/>
    </row>
    <row r="90" spans="25:27">
      <c r="Y90" s="36"/>
      <c r="Z90" s="36"/>
      <c r="AA90" s="36"/>
    </row>
    <row r="91" spans="25:27">
      <c r="Y91" s="36"/>
      <c r="Z91" s="36"/>
      <c r="AA91" s="36"/>
    </row>
    <row r="92" spans="25:27">
      <c r="Y92" s="36"/>
      <c r="Z92" s="36"/>
      <c r="AA92" s="36"/>
    </row>
    <row r="93" spans="25:27">
      <c r="Y93" s="36"/>
      <c r="Z93" s="36"/>
      <c r="AA93" s="36"/>
    </row>
    <row r="94" spans="25:27">
      <c r="Y94" s="36"/>
      <c r="Z94" s="36"/>
      <c r="AA94" s="36"/>
    </row>
    <row r="95" spans="25:27">
      <c r="Y95" s="36"/>
      <c r="Z95" s="36"/>
      <c r="AA95" s="36"/>
    </row>
    <row r="96" spans="25:27">
      <c r="Y96" s="36"/>
      <c r="Z96" s="36"/>
      <c r="AA96" s="36"/>
    </row>
    <row r="97" spans="25:27">
      <c r="Y97" s="36"/>
      <c r="Z97" s="36"/>
      <c r="AA97" s="36"/>
    </row>
    <row r="98" spans="25:27">
      <c r="Y98" s="36"/>
      <c r="Z98" s="36"/>
      <c r="AA98" s="36"/>
    </row>
    <row r="99" spans="25:27">
      <c r="Y99" s="36"/>
      <c r="Z99" s="36"/>
      <c r="AA99" s="36"/>
    </row>
    <row r="100" spans="25:27">
      <c r="Y100" s="36"/>
      <c r="Z100" s="36"/>
      <c r="AA100" s="36"/>
    </row>
    <row r="101" spans="25:27">
      <c r="Y101" s="36"/>
      <c r="Z101" s="36"/>
      <c r="AA101" s="36"/>
    </row>
    <row r="102" spans="25:27">
      <c r="Y102" s="36"/>
      <c r="Z102" s="36"/>
      <c r="AA102" s="36"/>
    </row>
    <row r="103" spans="25:27">
      <c r="Y103" s="36"/>
      <c r="Z103" s="36"/>
      <c r="AA103" s="36"/>
    </row>
    <row r="104" spans="25:27">
      <c r="Y104" s="36"/>
      <c r="Z104" s="36"/>
      <c r="AA104" s="36"/>
    </row>
    <row r="105" spans="25:27">
      <c r="Y105" s="36"/>
      <c r="Z105" s="36"/>
      <c r="AA105" s="36"/>
    </row>
    <row r="106" spans="25:27">
      <c r="Y106" s="36"/>
      <c r="Z106" s="36"/>
      <c r="AA106" s="36"/>
    </row>
    <row r="107" spans="25:27">
      <c r="Y107" s="36"/>
      <c r="Z107" s="36"/>
      <c r="AA107" s="36"/>
    </row>
    <row r="108" spans="25:27">
      <c r="Y108" s="36"/>
      <c r="Z108" s="36"/>
      <c r="AA108" s="36"/>
    </row>
    <row r="109" spans="25:27">
      <c r="Y109" s="36"/>
      <c r="Z109" s="36"/>
      <c r="AA109" s="36"/>
    </row>
    <row r="110" spans="25:27">
      <c r="Y110" s="36"/>
      <c r="Z110" s="36"/>
      <c r="AA110" s="36"/>
    </row>
    <row r="111" spans="25:27">
      <c r="Y111" s="36"/>
      <c r="Z111" s="36"/>
      <c r="AA111" s="36"/>
    </row>
    <row r="112" spans="25:27">
      <c r="Y112" s="36"/>
      <c r="Z112" s="36"/>
      <c r="AA112" s="36"/>
    </row>
    <row r="113" spans="25:27">
      <c r="Y113" s="36"/>
      <c r="Z113" s="36"/>
      <c r="AA113" s="36"/>
    </row>
    <row r="114" spans="25:27">
      <c r="Y114" s="36"/>
      <c r="Z114" s="36"/>
      <c r="AA114" s="36"/>
    </row>
    <row r="115" spans="25:27">
      <c r="Y115" s="36"/>
      <c r="Z115" s="36"/>
      <c r="AA115" s="36"/>
    </row>
    <row r="116" spans="25:27">
      <c r="Y116" s="36"/>
      <c r="Z116" s="36"/>
      <c r="AA116" s="36"/>
    </row>
    <row r="117" spans="25:27">
      <c r="Y117" s="36"/>
      <c r="Z117" s="36"/>
      <c r="AA117" s="36"/>
    </row>
    <row r="118" spans="25:27">
      <c r="Y118" s="36"/>
      <c r="Z118" s="36"/>
      <c r="AA118" s="36"/>
    </row>
    <row r="119" spans="25:27">
      <c r="Y119" s="36"/>
      <c r="Z119" s="36"/>
      <c r="AA119" s="36"/>
    </row>
    <row r="120" spans="25:27">
      <c r="Y120" s="36"/>
      <c r="Z120" s="36"/>
      <c r="AA120" s="36"/>
    </row>
    <row r="121" spans="25:27">
      <c r="Y121" s="36"/>
      <c r="Z121" s="36"/>
      <c r="AA121" s="36"/>
    </row>
    <row r="122" spans="25:27">
      <c r="Y122" s="36"/>
      <c r="Z122" s="36"/>
      <c r="AA122" s="36"/>
    </row>
    <row r="123" spans="25:27">
      <c r="Y123" s="36"/>
      <c r="Z123" s="36"/>
      <c r="AA123" s="36"/>
    </row>
    <row r="124" spans="25:27">
      <c r="Y124" s="36"/>
      <c r="Z124" s="36"/>
      <c r="AA124" s="36"/>
    </row>
    <row r="125" spans="25:27">
      <c r="Y125" s="36"/>
      <c r="Z125" s="36"/>
      <c r="AA125" s="36"/>
    </row>
    <row r="126" spans="25:27">
      <c r="Y126" s="36"/>
      <c r="Z126" s="36"/>
      <c r="AA126" s="36"/>
    </row>
    <row r="127" spans="25:27">
      <c r="Y127" s="36"/>
      <c r="Z127" s="36"/>
      <c r="AA127" s="36"/>
    </row>
    <row r="128" spans="25:27">
      <c r="Y128" s="36"/>
      <c r="Z128" s="36"/>
      <c r="AA128" s="36"/>
    </row>
    <row r="129" spans="25:27">
      <c r="Y129" s="36"/>
      <c r="Z129" s="36"/>
      <c r="AA129" s="36"/>
    </row>
    <row r="130" spans="25:27">
      <c r="Y130" s="36"/>
      <c r="Z130" s="36"/>
      <c r="AA130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A2A0-7EDE-4C2B-9FD2-49A5C5B57649}">
  <sheetPr>
    <pageSetUpPr fitToPage="1"/>
  </sheetPr>
  <dimension ref="A1:P73"/>
  <sheetViews>
    <sheetView tabSelected="1" topLeftCell="H63" workbookViewId="0">
      <selection activeCell="Q77" sqref="Q77"/>
    </sheetView>
  </sheetViews>
  <sheetFormatPr defaultRowHeight="15"/>
  <cols>
    <col min="1" max="1" width="20.140625" customWidth="1"/>
    <col min="2" max="2" width="19.7109375" customWidth="1"/>
    <col min="3" max="3" width="15.5703125" customWidth="1"/>
    <col min="4" max="4" width="6.28515625" customWidth="1"/>
    <col min="5" max="5" width="19.42578125" customWidth="1"/>
    <col min="6" max="6" width="18.42578125" customWidth="1"/>
    <col min="7" max="7" width="16.28515625" customWidth="1"/>
    <col min="8" max="8" width="6.7109375" style="7" customWidth="1"/>
    <col min="9" max="9" width="21.7109375" customWidth="1"/>
    <col min="10" max="10" width="19.28515625" customWidth="1"/>
    <col min="11" max="11" width="15" customWidth="1"/>
    <col min="12" max="12" width="5.42578125" customWidth="1"/>
    <col min="13" max="13" width="20.5703125" customWidth="1"/>
    <col min="14" max="14" width="19.140625" customWidth="1"/>
    <col min="15" max="15" width="15.28515625" customWidth="1"/>
    <col min="16" max="16" width="4.5703125" customWidth="1"/>
    <col min="17" max="17" width="18.5703125" bestFit="1" customWidth="1"/>
  </cols>
  <sheetData>
    <row r="1" spans="1:16">
      <c r="A1" s="13" t="s">
        <v>118</v>
      </c>
      <c r="B1" s="12"/>
      <c r="C1" s="12"/>
      <c r="D1" s="12"/>
      <c r="E1" s="13" t="s">
        <v>118</v>
      </c>
      <c r="F1" s="12"/>
      <c r="G1" s="12"/>
      <c r="H1" s="12"/>
      <c r="I1" s="13" t="s">
        <v>119</v>
      </c>
      <c r="J1" s="12"/>
      <c r="K1" s="12"/>
      <c r="L1" s="12"/>
      <c r="M1" s="12"/>
      <c r="N1" s="12"/>
      <c r="O1" s="12"/>
      <c r="P1" s="12"/>
    </row>
    <row r="2" spans="1:16" ht="30">
      <c r="A2" s="15" t="s">
        <v>120</v>
      </c>
      <c r="B2" s="1" t="s">
        <v>1</v>
      </c>
      <c r="C2" s="4">
        <v>25070</v>
      </c>
      <c r="D2" s="12"/>
      <c r="E2" s="15" t="s">
        <v>121</v>
      </c>
      <c r="F2" s="1" t="s">
        <v>1</v>
      </c>
      <c r="G2" s="4">
        <v>13245</v>
      </c>
      <c r="H2" s="12"/>
      <c r="I2" s="15" t="s">
        <v>122</v>
      </c>
      <c r="J2" s="1" t="s">
        <v>1</v>
      </c>
      <c r="K2" s="4">
        <v>28825</v>
      </c>
      <c r="L2" s="12"/>
      <c r="M2" s="16" t="s">
        <v>123</v>
      </c>
      <c r="N2" s="1" t="s">
        <v>1</v>
      </c>
      <c r="O2" s="4">
        <v>17750</v>
      </c>
      <c r="P2" s="12"/>
    </row>
    <row r="3" spans="1:16">
      <c r="A3" s="1"/>
      <c r="B3" s="1" t="s">
        <v>4</v>
      </c>
      <c r="C3" s="4">
        <v>1650</v>
      </c>
      <c r="D3" s="12"/>
      <c r="E3" s="1"/>
      <c r="F3" s="1" t="s">
        <v>4</v>
      </c>
      <c r="G3" s="4">
        <v>1650</v>
      </c>
      <c r="H3" s="12"/>
      <c r="I3" s="1"/>
      <c r="J3" s="1" t="s">
        <v>4</v>
      </c>
      <c r="K3" s="4">
        <v>1650</v>
      </c>
      <c r="L3" s="12"/>
      <c r="M3" s="1"/>
      <c r="N3" s="1" t="s">
        <v>4</v>
      </c>
      <c r="O3" s="4">
        <v>2750</v>
      </c>
      <c r="P3" s="12"/>
    </row>
    <row r="4" spans="1:16">
      <c r="A4" s="1"/>
      <c r="B4" s="1" t="s">
        <v>5</v>
      </c>
      <c r="C4" s="4">
        <v>310</v>
      </c>
      <c r="D4" s="12"/>
      <c r="E4" s="1"/>
      <c r="F4" s="1" t="s">
        <v>5</v>
      </c>
      <c r="G4" s="4">
        <v>310</v>
      </c>
      <c r="H4" s="12"/>
      <c r="I4" s="1"/>
      <c r="J4" s="1" t="s">
        <v>5</v>
      </c>
      <c r="K4" s="4">
        <v>310</v>
      </c>
      <c r="L4" s="12"/>
      <c r="M4" s="1"/>
      <c r="N4" s="1" t="s">
        <v>5</v>
      </c>
      <c r="O4" s="4">
        <v>310</v>
      </c>
      <c r="P4" s="12"/>
    </row>
    <row r="5" spans="1:16">
      <c r="A5" s="1"/>
      <c r="B5" s="1" t="s">
        <v>6</v>
      </c>
      <c r="C5" s="4">
        <v>450</v>
      </c>
      <c r="D5" s="12"/>
      <c r="E5" s="1"/>
      <c r="F5" s="1" t="s">
        <v>6</v>
      </c>
      <c r="G5" s="4">
        <v>450</v>
      </c>
      <c r="H5" s="12"/>
      <c r="I5" s="1"/>
      <c r="J5" s="1" t="s">
        <v>6</v>
      </c>
      <c r="K5" s="4">
        <v>450</v>
      </c>
      <c r="L5" s="12"/>
      <c r="M5" s="1"/>
      <c r="N5" s="1" t="s">
        <v>6</v>
      </c>
      <c r="O5" s="4">
        <v>450</v>
      </c>
      <c r="P5" s="12"/>
    </row>
    <row r="6" spans="1:16">
      <c r="A6" s="1"/>
      <c r="B6" s="1" t="s">
        <v>7</v>
      </c>
      <c r="C6" s="4">
        <f>(C8*6%)</f>
        <v>3299.7</v>
      </c>
      <c r="D6" s="12"/>
      <c r="E6" s="1"/>
      <c r="F6" s="1" t="s">
        <v>7</v>
      </c>
      <c r="G6" s="4">
        <f>(G8*6%)</f>
        <v>1739.7</v>
      </c>
      <c r="H6" s="12"/>
      <c r="I6" s="1"/>
      <c r="J6" s="1" t="s">
        <v>7</v>
      </c>
      <c r="K6" s="4">
        <f>(K8*6%)</f>
        <v>3599.7</v>
      </c>
      <c r="L6" s="12"/>
      <c r="M6" s="1"/>
      <c r="N6" s="1" t="s">
        <v>7</v>
      </c>
      <c r="O6" s="4">
        <f>(O8*6%)</f>
        <v>2579.6999999999998</v>
      </c>
      <c r="P6" s="12"/>
    </row>
    <row r="7" spans="1:16">
      <c r="A7" s="1"/>
      <c r="B7" s="2" t="s">
        <v>8</v>
      </c>
      <c r="C7" s="4">
        <f>SUM(C2:C6)</f>
        <v>30779.7</v>
      </c>
      <c r="D7" s="12"/>
      <c r="E7" s="1"/>
      <c r="F7" s="2" t="s">
        <v>8</v>
      </c>
      <c r="G7" s="4">
        <f>SUM(G2:G6)</f>
        <v>17394.7</v>
      </c>
      <c r="H7" s="12"/>
      <c r="I7" s="1"/>
      <c r="J7" s="2" t="s">
        <v>8</v>
      </c>
      <c r="K7" s="4">
        <f>SUM(K2:K6)</f>
        <v>34834.699999999997</v>
      </c>
      <c r="L7" s="12"/>
      <c r="M7" s="1"/>
      <c r="N7" s="2" t="s">
        <v>8</v>
      </c>
      <c r="O7" s="4">
        <f>SUM(O2:O6)</f>
        <v>23839.7</v>
      </c>
      <c r="P7" s="12"/>
    </row>
    <row r="8" spans="1:16">
      <c r="A8" s="1"/>
      <c r="B8" s="23" t="s">
        <v>9</v>
      </c>
      <c r="C8" s="24">
        <v>54995</v>
      </c>
      <c r="D8" s="12"/>
      <c r="E8" s="1"/>
      <c r="F8" s="23" t="s">
        <v>9</v>
      </c>
      <c r="G8" s="24">
        <v>28995</v>
      </c>
      <c r="H8" s="12"/>
      <c r="I8" s="1"/>
      <c r="J8" s="23" t="s">
        <v>9</v>
      </c>
      <c r="K8" s="24">
        <v>59995</v>
      </c>
      <c r="L8" s="12"/>
      <c r="M8" s="1"/>
      <c r="N8" s="23" t="s">
        <v>9</v>
      </c>
      <c r="O8" s="24">
        <v>42995</v>
      </c>
      <c r="P8" s="12"/>
    </row>
    <row r="9" spans="1:16">
      <c r="A9" s="22" t="s">
        <v>10</v>
      </c>
      <c r="B9" s="3">
        <f>C9/C8</f>
        <v>0.44031821074643146</v>
      </c>
      <c r="C9" s="6">
        <f>(C8-C7)</f>
        <v>24215.3</v>
      </c>
      <c r="D9" s="12"/>
      <c r="E9" s="22" t="s">
        <v>10</v>
      </c>
      <c r="F9" s="3">
        <f>G9/G8</f>
        <v>0.40007932402138296</v>
      </c>
      <c r="G9" s="6">
        <f>(G8-G7)</f>
        <v>11600.3</v>
      </c>
      <c r="H9" s="12"/>
      <c r="I9" s="22" t="s">
        <v>10</v>
      </c>
      <c r="J9" s="3">
        <f>K9/K8</f>
        <v>0.41937328110675892</v>
      </c>
      <c r="K9" s="6">
        <f>(K8-K7)</f>
        <v>25160.300000000003</v>
      </c>
      <c r="L9" s="12"/>
      <c r="M9" s="22" t="s">
        <v>10</v>
      </c>
      <c r="N9" s="3">
        <f>O9/O8</f>
        <v>0.44552389812768922</v>
      </c>
      <c r="O9" s="6">
        <f>(O8-O7)</f>
        <v>19155.3</v>
      </c>
      <c r="P9" s="12"/>
    </row>
    <row r="10" spans="1:16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>
      <c r="A11" s="15" t="s">
        <v>124</v>
      </c>
      <c r="B11" s="1" t="s">
        <v>1</v>
      </c>
      <c r="C11" s="4">
        <v>21880</v>
      </c>
      <c r="D11" s="12"/>
      <c r="E11" s="15" t="s">
        <v>125</v>
      </c>
      <c r="F11" s="1" t="s">
        <v>1</v>
      </c>
      <c r="G11" s="4">
        <v>12390</v>
      </c>
      <c r="H11" s="12"/>
      <c r="I11" s="15" t="s">
        <v>126</v>
      </c>
      <c r="J11" s="1" t="s">
        <v>1</v>
      </c>
      <c r="K11" s="4">
        <v>31110</v>
      </c>
      <c r="L11" s="12"/>
      <c r="M11" s="15" t="s">
        <v>127</v>
      </c>
      <c r="N11" s="1" t="s">
        <v>1</v>
      </c>
      <c r="O11" s="4">
        <v>15250</v>
      </c>
      <c r="P11" s="12"/>
    </row>
    <row r="12" spans="1:16">
      <c r="A12" s="1"/>
      <c r="B12" s="1" t="s">
        <v>4</v>
      </c>
      <c r="C12" s="4">
        <v>1650</v>
      </c>
      <c r="D12" s="12"/>
      <c r="E12" s="1"/>
      <c r="F12" s="1" t="s">
        <v>4</v>
      </c>
      <c r="G12" s="4">
        <v>1650</v>
      </c>
      <c r="H12" s="12"/>
      <c r="I12" s="1"/>
      <c r="J12" s="1" t="s">
        <v>4</v>
      </c>
      <c r="K12" s="4">
        <v>1650</v>
      </c>
      <c r="L12" s="12"/>
      <c r="M12" s="1"/>
      <c r="N12" s="1" t="s">
        <v>4</v>
      </c>
      <c r="O12" s="4">
        <v>2750</v>
      </c>
      <c r="P12" s="12"/>
    </row>
    <row r="13" spans="1:16">
      <c r="A13" s="1"/>
      <c r="B13" s="1" t="s">
        <v>5</v>
      </c>
      <c r="C13" s="4">
        <v>310</v>
      </c>
      <c r="D13" s="12"/>
      <c r="E13" s="1"/>
      <c r="F13" s="1" t="s">
        <v>5</v>
      </c>
      <c r="G13" s="4">
        <v>310</v>
      </c>
      <c r="H13" s="12"/>
      <c r="I13" s="1"/>
      <c r="J13" s="1" t="s">
        <v>5</v>
      </c>
      <c r="K13" s="4">
        <v>310</v>
      </c>
      <c r="L13" s="12"/>
      <c r="M13" s="1"/>
      <c r="N13" s="1" t="s">
        <v>5</v>
      </c>
      <c r="O13" s="4">
        <v>310</v>
      </c>
      <c r="P13" s="12"/>
    </row>
    <row r="14" spans="1:16">
      <c r="A14" s="1"/>
      <c r="B14" s="1" t="s">
        <v>6</v>
      </c>
      <c r="C14" s="4">
        <v>450</v>
      </c>
      <c r="D14" s="12"/>
      <c r="E14" s="1"/>
      <c r="F14" s="1" t="s">
        <v>6</v>
      </c>
      <c r="G14" s="4">
        <v>450</v>
      </c>
      <c r="H14" s="12"/>
      <c r="I14" s="1"/>
      <c r="J14" s="1" t="s">
        <v>6</v>
      </c>
      <c r="K14" s="4">
        <v>450</v>
      </c>
      <c r="L14" s="12"/>
      <c r="M14" s="1"/>
      <c r="N14" s="1" t="s">
        <v>6</v>
      </c>
      <c r="O14" s="4">
        <v>450</v>
      </c>
      <c r="P14" s="12"/>
    </row>
    <row r="15" spans="1:16">
      <c r="A15" s="1"/>
      <c r="B15" s="1" t="s">
        <v>7</v>
      </c>
      <c r="C15" s="4">
        <f>(C17*6%)</f>
        <v>2699.7</v>
      </c>
      <c r="D15" s="12"/>
      <c r="E15" s="1"/>
      <c r="F15" s="1" t="s">
        <v>7</v>
      </c>
      <c r="G15" s="4">
        <f>(G17*6%)</f>
        <v>1679.7</v>
      </c>
      <c r="H15" s="12"/>
      <c r="I15" s="1"/>
      <c r="J15" s="1" t="s">
        <v>7</v>
      </c>
      <c r="K15" s="4">
        <f>(K17*6%)</f>
        <v>3899.7</v>
      </c>
      <c r="L15" s="12"/>
      <c r="M15" s="1"/>
      <c r="N15" s="1" t="s">
        <v>7</v>
      </c>
      <c r="O15" s="4">
        <f>(O17*6%)</f>
        <v>2399.6999999999998</v>
      </c>
      <c r="P15" s="12"/>
    </row>
    <row r="16" spans="1:16">
      <c r="A16" s="1"/>
      <c r="B16" s="2" t="s">
        <v>8</v>
      </c>
      <c r="C16" s="4">
        <f>SUM(C11:C15)</f>
        <v>26989.7</v>
      </c>
      <c r="D16" s="12"/>
      <c r="E16" s="1"/>
      <c r="F16" s="2" t="s">
        <v>8</v>
      </c>
      <c r="G16" s="4">
        <f>SUM(G11:G15)</f>
        <v>16479.7</v>
      </c>
      <c r="H16" s="12"/>
      <c r="I16" s="1"/>
      <c r="J16" s="2" t="s">
        <v>8</v>
      </c>
      <c r="K16" s="4">
        <f>SUM(K11:K15)</f>
        <v>37419.699999999997</v>
      </c>
      <c r="L16" s="12"/>
      <c r="M16" s="1"/>
      <c r="N16" s="2" t="s">
        <v>8</v>
      </c>
      <c r="O16" s="4">
        <f>SUM(O11:O15)</f>
        <v>21159.7</v>
      </c>
      <c r="P16" s="12"/>
    </row>
    <row r="17" spans="1:16">
      <c r="A17" s="1"/>
      <c r="B17" s="23" t="s">
        <v>9</v>
      </c>
      <c r="C17" s="24">
        <v>44995</v>
      </c>
      <c r="D17" s="12"/>
      <c r="E17" s="1"/>
      <c r="F17" s="23" t="s">
        <v>9</v>
      </c>
      <c r="G17" s="24">
        <v>27995</v>
      </c>
      <c r="H17" s="12"/>
      <c r="I17" s="1"/>
      <c r="J17" s="23" t="s">
        <v>9</v>
      </c>
      <c r="K17" s="24">
        <v>64995</v>
      </c>
      <c r="L17" s="12"/>
      <c r="M17" s="1"/>
      <c r="N17" s="23" t="s">
        <v>9</v>
      </c>
      <c r="O17" s="24">
        <v>39995</v>
      </c>
      <c r="P17" s="12"/>
    </row>
    <row r="18" spans="1:16">
      <c r="A18" s="22" t="s">
        <v>10</v>
      </c>
      <c r="B18" s="3">
        <f>C18/C17</f>
        <v>0.40016224024891656</v>
      </c>
      <c r="C18" s="6">
        <f>(C17-C16)</f>
        <v>18005.3</v>
      </c>
      <c r="D18" s="12"/>
      <c r="E18" s="22" t="s">
        <v>10</v>
      </c>
      <c r="F18" s="3">
        <f>G18/G17</f>
        <v>0.41133416681550272</v>
      </c>
      <c r="G18" s="6">
        <f>(G17-G16)</f>
        <v>11515.3</v>
      </c>
      <c r="H18" s="12"/>
      <c r="I18" s="22" t="s">
        <v>10</v>
      </c>
      <c r="J18" s="3">
        <f>K18/K17</f>
        <v>0.42426802061697055</v>
      </c>
      <c r="K18" s="6">
        <f>(K17-K16)</f>
        <v>27575.300000000003</v>
      </c>
      <c r="L18" s="12"/>
      <c r="M18" s="22" t="s">
        <v>10</v>
      </c>
      <c r="N18" s="3">
        <f>O18/O17</f>
        <v>0.47094136767095884</v>
      </c>
      <c r="O18" s="6">
        <f>(O17-O16)</f>
        <v>18835.3</v>
      </c>
      <c r="P18" s="12"/>
    </row>
    <row r="19" spans="1:1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30">
      <c r="A20" s="16" t="s">
        <v>128</v>
      </c>
      <c r="B20" s="1" t="s">
        <v>1</v>
      </c>
      <c r="C20" s="4">
        <v>20120</v>
      </c>
      <c r="D20" s="12"/>
      <c r="E20" s="15" t="s">
        <v>129</v>
      </c>
      <c r="F20" s="1" t="s">
        <v>1</v>
      </c>
      <c r="G20" s="4">
        <v>11295</v>
      </c>
      <c r="H20" s="12"/>
      <c r="I20" s="9"/>
      <c r="J20" s="9"/>
      <c r="K20" s="25"/>
      <c r="L20" s="12"/>
      <c r="M20" s="15" t="s">
        <v>130</v>
      </c>
      <c r="N20" s="1" t="s">
        <v>1</v>
      </c>
      <c r="O20" s="4">
        <v>17250</v>
      </c>
      <c r="P20" s="12"/>
    </row>
    <row r="21" spans="1:16">
      <c r="A21" s="1"/>
      <c r="B21" s="1" t="s">
        <v>4</v>
      </c>
      <c r="C21" s="4">
        <v>1650</v>
      </c>
      <c r="D21" s="12"/>
      <c r="E21" s="1"/>
      <c r="F21" s="1" t="s">
        <v>4</v>
      </c>
      <c r="G21" s="4">
        <v>1650</v>
      </c>
      <c r="H21" s="12"/>
      <c r="I21" s="9"/>
      <c r="J21" s="9"/>
      <c r="K21" s="25"/>
      <c r="L21" s="12"/>
      <c r="M21" s="1"/>
      <c r="N21" s="1" t="s">
        <v>4</v>
      </c>
      <c r="O21" s="4">
        <v>2500</v>
      </c>
      <c r="P21" s="12"/>
    </row>
    <row r="22" spans="1:16">
      <c r="A22" s="1"/>
      <c r="B22" s="1" t="s">
        <v>5</v>
      </c>
      <c r="C22" s="4">
        <v>310</v>
      </c>
      <c r="D22" s="12"/>
      <c r="E22" s="1"/>
      <c r="F22" s="1" t="s">
        <v>5</v>
      </c>
      <c r="G22" s="4">
        <v>310</v>
      </c>
      <c r="H22" s="12"/>
      <c r="I22" s="9"/>
      <c r="J22" s="9"/>
      <c r="K22" s="25"/>
      <c r="L22" s="12"/>
      <c r="M22" s="1"/>
      <c r="N22" s="1" t="s">
        <v>5</v>
      </c>
      <c r="O22" s="4">
        <v>310</v>
      </c>
      <c r="P22" s="12"/>
    </row>
    <row r="23" spans="1:16">
      <c r="A23" s="1"/>
      <c r="B23" s="1" t="s">
        <v>6</v>
      </c>
      <c r="C23" s="4">
        <v>450</v>
      </c>
      <c r="D23" s="12"/>
      <c r="E23" s="1"/>
      <c r="F23" s="1" t="s">
        <v>6</v>
      </c>
      <c r="G23" s="4">
        <v>450</v>
      </c>
      <c r="H23" s="12"/>
      <c r="I23" s="9"/>
      <c r="J23" s="9"/>
      <c r="K23" s="25"/>
      <c r="L23" s="12"/>
      <c r="M23" s="1"/>
      <c r="N23" s="1" t="s">
        <v>6</v>
      </c>
      <c r="O23" s="4">
        <v>450</v>
      </c>
      <c r="P23" s="12"/>
    </row>
    <row r="24" spans="1:16">
      <c r="A24" s="1"/>
      <c r="B24" s="1" t="s">
        <v>7</v>
      </c>
      <c r="C24" s="4">
        <f>(C26*6%)</f>
        <v>2339.6999999999998</v>
      </c>
      <c r="D24" s="12"/>
      <c r="E24" s="1"/>
      <c r="F24" s="1" t="s">
        <v>7</v>
      </c>
      <c r="G24" s="4">
        <f>(G26*6%)</f>
        <v>1559.7</v>
      </c>
      <c r="H24" s="12"/>
      <c r="I24" s="9"/>
      <c r="J24" s="9"/>
      <c r="K24" s="25"/>
      <c r="L24" s="12"/>
      <c r="M24" s="1"/>
      <c r="N24" s="1" t="s">
        <v>7</v>
      </c>
      <c r="O24" s="4">
        <f>(O26*6%)</f>
        <v>2519.6999999999998</v>
      </c>
      <c r="P24" s="12"/>
    </row>
    <row r="25" spans="1:16">
      <c r="A25" s="1"/>
      <c r="B25" s="2" t="s">
        <v>8</v>
      </c>
      <c r="C25" s="4">
        <f>SUM(C20:C24)</f>
        <v>24869.7</v>
      </c>
      <c r="D25" s="12"/>
      <c r="E25" s="1"/>
      <c r="F25" s="2" t="s">
        <v>8</v>
      </c>
      <c r="G25" s="4">
        <f>SUM(G20:G24)</f>
        <v>15264.7</v>
      </c>
      <c r="H25" s="12"/>
      <c r="I25" s="9"/>
      <c r="J25" s="26"/>
      <c r="K25" s="25"/>
      <c r="L25" s="12"/>
      <c r="M25" s="1"/>
      <c r="N25" s="2" t="s">
        <v>8</v>
      </c>
      <c r="O25" s="4">
        <f>SUM(O20:O24)</f>
        <v>23029.7</v>
      </c>
      <c r="P25" s="12"/>
    </row>
    <row r="26" spans="1:16">
      <c r="A26" s="1"/>
      <c r="B26" s="23" t="s">
        <v>9</v>
      </c>
      <c r="C26" s="24">
        <v>38995</v>
      </c>
      <c r="D26" s="12"/>
      <c r="E26" s="1"/>
      <c r="F26" s="23" t="s">
        <v>9</v>
      </c>
      <c r="G26" s="24">
        <v>25995</v>
      </c>
      <c r="H26" s="12"/>
      <c r="I26" s="9"/>
      <c r="J26" s="26"/>
      <c r="K26" s="25"/>
      <c r="L26" s="12"/>
      <c r="M26" s="1"/>
      <c r="N26" s="23" t="s">
        <v>9</v>
      </c>
      <c r="O26" s="24">
        <v>41995</v>
      </c>
      <c r="P26" s="12"/>
    </row>
    <row r="27" spans="1:16">
      <c r="A27" s="22" t="s">
        <v>10</v>
      </c>
      <c r="B27" s="3">
        <f>C27/C26</f>
        <v>0.36223361969483264</v>
      </c>
      <c r="C27" s="6">
        <f>(C26-C25)</f>
        <v>14125.3</v>
      </c>
      <c r="D27" s="12"/>
      <c r="E27" s="22" t="s">
        <v>10</v>
      </c>
      <c r="F27" s="3">
        <f>G27/G26</f>
        <v>0.4127832275437584</v>
      </c>
      <c r="G27" s="6">
        <f>(G26-G25)</f>
        <v>10730.3</v>
      </c>
      <c r="H27" s="12"/>
      <c r="I27" s="27"/>
      <c r="J27" s="28"/>
      <c r="K27" s="25"/>
      <c r="L27" s="12"/>
      <c r="M27" s="22" t="s">
        <v>10</v>
      </c>
      <c r="N27" s="3">
        <f>O27/O26</f>
        <v>0.45160852482438385</v>
      </c>
      <c r="O27" s="6">
        <f>(O26-O25)</f>
        <v>18965.3</v>
      </c>
      <c r="P27" s="12"/>
    </row>
    <row r="28" spans="1:16">
      <c r="A28" s="12"/>
      <c r="B28" s="12"/>
      <c r="C28" s="12"/>
      <c r="D28" s="12"/>
      <c r="E28" s="12"/>
      <c r="F28" s="12"/>
      <c r="G28" s="12"/>
      <c r="H28" s="12"/>
      <c r="I28" s="7"/>
      <c r="J28" s="7"/>
      <c r="K28" s="7"/>
      <c r="L28" s="12"/>
      <c r="M28" s="12"/>
      <c r="N28" s="12"/>
      <c r="O28" s="12"/>
      <c r="P28" s="12"/>
    </row>
    <row r="29" spans="1:16">
      <c r="A29" s="15" t="s">
        <v>131</v>
      </c>
      <c r="B29" s="1" t="s">
        <v>1</v>
      </c>
      <c r="C29" s="4">
        <v>21035</v>
      </c>
      <c r="D29" s="12"/>
      <c r="E29" s="15" t="s">
        <v>132</v>
      </c>
      <c r="F29" s="1" t="s">
        <v>1</v>
      </c>
      <c r="G29" s="4">
        <v>12590</v>
      </c>
      <c r="H29" s="12"/>
      <c r="I29" s="9"/>
      <c r="J29" s="9"/>
      <c r="K29" s="25"/>
      <c r="L29" s="12"/>
      <c r="M29" s="15" t="s">
        <v>133</v>
      </c>
      <c r="N29" s="1" t="s">
        <v>1</v>
      </c>
      <c r="O29" s="4">
        <v>15250</v>
      </c>
      <c r="P29" s="12"/>
    </row>
    <row r="30" spans="1:16">
      <c r="A30" s="1"/>
      <c r="B30" s="1" t="s">
        <v>4</v>
      </c>
      <c r="C30" s="4">
        <v>1650</v>
      </c>
      <c r="D30" s="12"/>
      <c r="E30" s="1"/>
      <c r="F30" s="1" t="s">
        <v>4</v>
      </c>
      <c r="G30" s="4">
        <v>1650</v>
      </c>
      <c r="H30" s="12"/>
      <c r="I30" s="9"/>
      <c r="J30" s="9"/>
      <c r="K30" s="25"/>
      <c r="L30" s="12"/>
      <c r="M30" s="1"/>
      <c r="N30" s="1" t="s">
        <v>4</v>
      </c>
      <c r="O30" s="4">
        <v>2500</v>
      </c>
      <c r="P30" s="12"/>
    </row>
    <row r="31" spans="1:16">
      <c r="A31" s="1"/>
      <c r="B31" s="1" t="s">
        <v>5</v>
      </c>
      <c r="C31" s="4">
        <v>310</v>
      </c>
      <c r="D31" s="12"/>
      <c r="E31" s="1"/>
      <c r="F31" s="1" t="s">
        <v>5</v>
      </c>
      <c r="G31" s="4">
        <v>310</v>
      </c>
      <c r="H31" s="12"/>
      <c r="I31" s="9"/>
      <c r="J31" s="9"/>
      <c r="K31" s="25"/>
      <c r="L31" s="12"/>
      <c r="M31" s="1"/>
      <c r="N31" s="1" t="s">
        <v>5</v>
      </c>
      <c r="O31" s="4">
        <v>310</v>
      </c>
      <c r="P31" s="12"/>
    </row>
    <row r="32" spans="1:16">
      <c r="A32" s="1"/>
      <c r="B32" s="1" t="s">
        <v>6</v>
      </c>
      <c r="C32" s="4">
        <v>450</v>
      </c>
      <c r="D32" s="12"/>
      <c r="E32" s="1"/>
      <c r="F32" s="1" t="s">
        <v>6</v>
      </c>
      <c r="G32" s="4">
        <v>450</v>
      </c>
      <c r="H32" s="12"/>
      <c r="I32" s="9"/>
      <c r="J32" s="9"/>
      <c r="K32" s="25"/>
      <c r="L32" s="12"/>
      <c r="M32" s="1"/>
      <c r="N32" s="1" t="s">
        <v>6</v>
      </c>
      <c r="O32" s="4">
        <v>450</v>
      </c>
      <c r="P32" s="12"/>
    </row>
    <row r="33" spans="1:16">
      <c r="A33" s="1"/>
      <c r="B33" s="1" t="s">
        <v>7</v>
      </c>
      <c r="C33" s="4">
        <f>(C35*6%)</f>
        <v>2879.7</v>
      </c>
      <c r="D33" s="12"/>
      <c r="E33" s="1"/>
      <c r="F33" s="1" t="s">
        <v>7</v>
      </c>
      <c r="G33" s="4">
        <f>(G35*6%)</f>
        <v>1679.7</v>
      </c>
      <c r="H33" s="12"/>
      <c r="I33" s="9"/>
      <c r="J33" s="9"/>
      <c r="K33" s="25"/>
      <c r="L33" s="12"/>
      <c r="M33" s="1"/>
      <c r="N33" s="1" t="s">
        <v>7</v>
      </c>
      <c r="O33" s="4">
        <f>(O35*6%)</f>
        <v>2159.6999999999998</v>
      </c>
      <c r="P33" s="12"/>
    </row>
    <row r="34" spans="1:16">
      <c r="A34" s="1"/>
      <c r="B34" s="2" t="s">
        <v>8</v>
      </c>
      <c r="C34" s="4">
        <f>SUM(C29:C33)</f>
        <v>26324.7</v>
      </c>
      <c r="D34" s="12"/>
      <c r="E34" s="1"/>
      <c r="F34" s="2" t="s">
        <v>8</v>
      </c>
      <c r="G34" s="4">
        <f>SUM(G29:G33)</f>
        <v>16679.7</v>
      </c>
      <c r="H34" s="12"/>
      <c r="I34" s="9"/>
      <c r="J34" s="26"/>
      <c r="K34" s="25"/>
      <c r="L34" s="12"/>
      <c r="M34" s="1"/>
      <c r="N34" s="2" t="s">
        <v>8</v>
      </c>
      <c r="O34" s="4">
        <f>SUM(O29:O33)</f>
        <v>20669.7</v>
      </c>
      <c r="P34" s="12"/>
    </row>
    <row r="35" spans="1:16">
      <c r="A35" s="1"/>
      <c r="B35" s="23" t="s">
        <v>9</v>
      </c>
      <c r="C35" s="24">
        <v>47995</v>
      </c>
      <c r="D35" s="12"/>
      <c r="E35" s="1"/>
      <c r="F35" s="23" t="s">
        <v>9</v>
      </c>
      <c r="G35" s="24">
        <v>27995</v>
      </c>
      <c r="H35" s="12"/>
      <c r="I35" s="9"/>
      <c r="J35" s="26"/>
      <c r="K35" s="25"/>
      <c r="L35" s="12"/>
      <c r="M35" s="1"/>
      <c r="N35" s="23" t="s">
        <v>9</v>
      </c>
      <c r="O35" s="24">
        <v>35995</v>
      </c>
      <c r="P35" s="12"/>
    </row>
    <row r="36" spans="1:16">
      <c r="A36" s="22" t="s">
        <v>10</v>
      </c>
      <c r="B36" s="3">
        <f>C36/C35</f>
        <v>0.45151161579331178</v>
      </c>
      <c r="C36" s="6">
        <f>(C35-C34)</f>
        <v>21670.3</v>
      </c>
      <c r="D36" s="12"/>
      <c r="E36" s="22" t="s">
        <v>10</v>
      </c>
      <c r="F36" s="3">
        <f>G36/G35</f>
        <v>0.40419003393463115</v>
      </c>
      <c r="G36" s="6">
        <f>(G35-G34)</f>
        <v>11315.3</v>
      </c>
      <c r="H36" s="12"/>
      <c r="I36" s="27"/>
      <c r="J36" s="28"/>
      <c r="K36" s="25"/>
      <c r="L36" s="12"/>
      <c r="M36" s="22" t="s">
        <v>10</v>
      </c>
      <c r="N36" s="3">
        <f>O36/O35</f>
        <v>0.42576191137658004</v>
      </c>
      <c r="O36" s="6">
        <f>(O35-O34)</f>
        <v>15325.3</v>
      </c>
      <c r="P36" s="12"/>
    </row>
    <row r="37" spans="1:16">
      <c r="A37" s="12"/>
      <c r="B37" s="12"/>
      <c r="C37" s="12"/>
      <c r="D37" s="12"/>
      <c r="E37" s="12"/>
      <c r="F37" s="12"/>
      <c r="G37" s="12"/>
      <c r="H37" s="12"/>
      <c r="I37" s="7"/>
      <c r="J37" s="7"/>
      <c r="K37" s="7"/>
      <c r="L37" s="12"/>
      <c r="M37" s="12"/>
      <c r="N37" s="12"/>
      <c r="O37" s="12"/>
      <c r="P37" s="12"/>
    </row>
    <row r="38" spans="1:16">
      <c r="A38" s="15" t="s">
        <v>134</v>
      </c>
      <c r="B38" s="1" t="s">
        <v>1</v>
      </c>
      <c r="C38" s="4">
        <v>18895</v>
      </c>
      <c r="D38" s="12"/>
      <c r="E38" s="15" t="s">
        <v>135</v>
      </c>
      <c r="F38" s="1" t="s">
        <v>1</v>
      </c>
      <c r="G38" s="4">
        <v>10470</v>
      </c>
      <c r="H38" s="12"/>
      <c r="I38" s="9"/>
      <c r="J38" s="9"/>
      <c r="K38" s="25"/>
      <c r="L38" s="12"/>
      <c r="M38" s="15" t="s">
        <v>136</v>
      </c>
      <c r="N38" s="1" t="s">
        <v>1</v>
      </c>
      <c r="O38" s="4">
        <v>14150</v>
      </c>
      <c r="P38" s="12"/>
    </row>
    <row r="39" spans="1:16">
      <c r="A39" s="1"/>
      <c r="B39" s="1" t="s">
        <v>4</v>
      </c>
      <c r="C39" s="4">
        <v>1650</v>
      </c>
      <c r="D39" s="12"/>
      <c r="E39" s="1"/>
      <c r="F39" s="1" t="s">
        <v>4</v>
      </c>
      <c r="G39" s="4">
        <v>1650</v>
      </c>
      <c r="H39" s="12"/>
      <c r="I39" s="9"/>
      <c r="J39" s="9"/>
      <c r="K39" s="25"/>
      <c r="L39" s="12"/>
      <c r="M39" s="1"/>
      <c r="N39" s="1" t="s">
        <v>4</v>
      </c>
      <c r="O39" s="4">
        <v>2000</v>
      </c>
      <c r="P39" s="12"/>
    </row>
    <row r="40" spans="1:16">
      <c r="A40" s="1"/>
      <c r="B40" s="1" t="s">
        <v>5</v>
      </c>
      <c r="C40" s="4">
        <v>310</v>
      </c>
      <c r="D40" s="12"/>
      <c r="E40" s="1"/>
      <c r="F40" s="1" t="s">
        <v>5</v>
      </c>
      <c r="G40" s="4">
        <v>310</v>
      </c>
      <c r="H40" s="12"/>
      <c r="I40" s="9"/>
      <c r="J40" s="9"/>
      <c r="K40" s="25"/>
      <c r="L40" s="12"/>
      <c r="M40" s="1"/>
      <c r="N40" s="1" t="s">
        <v>5</v>
      </c>
      <c r="O40" s="4">
        <v>310</v>
      </c>
      <c r="P40" s="12"/>
    </row>
    <row r="41" spans="1:16">
      <c r="A41" s="1"/>
      <c r="B41" s="1" t="s">
        <v>6</v>
      </c>
      <c r="C41" s="4">
        <v>450</v>
      </c>
      <c r="D41" s="12"/>
      <c r="E41" s="1"/>
      <c r="F41" s="1" t="s">
        <v>6</v>
      </c>
      <c r="G41" s="4">
        <v>450</v>
      </c>
      <c r="H41" s="12"/>
      <c r="I41" s="9"/>
      <c r="J41" s="9"/>
      <c r="K41" s="25"/>
      <c r="L41" s="12"/>
      <c r="M41" s="1"/>
      <c r="N41" s="1" t="s">
        <v>6</v>
      </c>
      <c r="O41" s="4">
        <v>450</v>
      </c>
      <c r="P41" s="12"/>
    </row>
    <row r="42" spans="1:16">
      <c r="A42" s="1"/>
      <c r="B42" s="1" t="s">
        <v>7</v>
      </c>
      <c r="C42" s="4">
        <f>(C44*6%)</f>
        <v>2579.94</v>
      </c>
      <c r="D42" s="12"/>
      <c r="E42" s="1"/>
      <c r="F42" s="1" t="s">
        <v>7</v>
      </c>
      <c r="G42" s="4">
        <f>(G44*6%)</f>
        <v>1439.7</v>
      </c>
      <c r="H42" s="12"/>
      <c r="I42" s="9"/>
      <c r="J42" s="9"/>
      <c r="K42" s="25"/>
      <c r="L42" s="12"/>
      <c r="M42" s="1"/>
      <c r="N42" s="1" t="s">
        <v>7</v>
      </c>
      <c r="O42" s="4">
        <f>(O44*6%)</f>
        <v>1979.6999999999998</v>
      </c>
      <c r="P42" s="12"/>
    </row>
    <row r="43" spans="1:16">
      <c r="A43" s="1"/>
      <c r="B43" s="2" t="s">
        <v>8</v>
      </c>
      <c r="C43" s="4">
        <f>SUM(C38:C42)</f>
        <v>23884.94</v>
      </c>
      <c r="D43" s="12"/>
      <c r="E43" s="1"/>
      <c r="F43" s="2" t="s">
        <v>8</v>
      </c>
      <c r="G43" s="4">
        <f>SUM(G38:G42)</f>
        <v>14319.7</v>
      </c>
      <c r="H43" s="12"/>
      <c r="I43" s="9"/>
      <c r="J43" s="26"/>
      <c r="K43" s="25"/>
      <c r="L43" s="12"/>
      <c r="M43" s="1"/>
      <c r="N43" s="2" t="s">
        <v>8</v>
      </c>
      <c r="O43" s="4">
        <f>SUM(O38:O42)</f>
        <v>18889.7</v>
      </c>
      <c r="P43" s="12"/>
    </row>
    <row r="44" spans="1:16">
      <c r="A44" s="1"/>
      <c r="B44" s="23" t="s">
        <v>9</v>
      </c>
      <c r="C44" s="24">
        <v>42999</v>
      </c>
      <c r="D44" s="12"/>
      <c r="E44" s="1"/>
      <c r="F44" s="23" t="s">
        <v>9</v>
      </c>
      <c r="G44" s="24">
        <v>23995</v>
      </c>
      <c r="H44" s="12"/>
      <c r="I44" s="9"/>
      <c r="J44" s="26"/>
      <c r="K44" s="25"/>
      <c r="L44" s="12"/>
      <c r="M44" s="1"/>
      <c r="N44" s="23" t="s">
        <v>9</v>
      </c>
      <c r="O44" s="24">
        <v>32995</v>
      </c>
      <c r="P44" s="12"/>
    </row>
    <row r="45" spans="1:16">
      <c r="A45" s="22" t="s">
        <v>10</v>
      </c>
      <c r="B45" s="3">
        <f>C45/C44</f>
        <v>0.44452336100839557</v>
      </c>
      <c r="C45" s="6">
        <f>(C44-C43)</f>
        <v>19114.060000000001</v>
      </c>
      <c r="D45" s="12"/>
      <c r="E45" s="22" t="s">
        <v>10</v>
      </c>
      <c r="F45" s="3">
        <f>G45/G44</f>
        <v>0.40322150448009997</v>
      </c>
      <c r="G45" s="6">
        <f>(G44-G43)</f>
        <v>9675.2999999999993</v>
      </c>
      <c r="H45" s="12"/>
      <c r="I45" s="27"/>
      <c r="J45" s="28"/>
      <c r="K45" s="25"/>
      <c r="L45" s="12"/>
      <c r="M45" s="22" t="s">
        <v>10</v>
      </c>
      <c r="N45" s="3">
        <f>O45/O44</f>
        <v>0.42749810577360203</v>
      </c>
      <c r="O45" s="6">
        <f>(O44-O43)</f>
        <v>14105.3</v>
      </c>
      <c r="P45" s="12"/>
    </row>
    <row r="46" spans="1:16">
      <c r="A46" s="12"/>
      <c r="B46" s="12"/>
      <c r="C46" s="12"/>
      <c r="D46" s="12"/>
      <c r="E46" s="12"/>
      <c r="F46" s="12"/>
      <c r="G46" s="12"/>
      <c r="H46" s="12"/>
      <c r="I46" s="7"/>
      <c r="J46" s="7"/>
      <c r="K46" s="7"/>
      <c r="L46" s="12"/>
      <c r="M46" s="12"/>
      <c r="N46" s="12"/>
      <c r="O46" s="12"/>
      <c r="P46" s="12"/>
    </row>
    <row r="47" spans="1:16" ht="30">
      <c r="A47" s="16" t="s">
        <v>137</v>
      </c>
      <c r="B47" s="1" t="s">
        <v>1</v>
      </c>
      <c r="C47" s="4">
        <v>17135</v>
      </c>
      <c r="D47" s="12"/>
      <c r="E47" s="9"/>
      <c r="F47" s="9"/>
      <c r="G47" s="25"/>
      <c r="L47" s="12"/>
      <c r="M47" s="15" t="s">
        <v>138</v>
      </c>
      <c r="N47" s="1" t="s">
        <v>1</v>
      </c>
      <c r="O47" s="4">
        <v>11650</v>
      </c>
      <c r="P47" s="12"/>
    </row>
    <row r="48" spans="1:16">
      <c r="A48" s="1"/>
      <c r="B48" s="1" t="s">
        <v>4</v>
      </c>
      <c r="C48" s="4">
        <v>1650</v>
      </c>
      <c r="D48" s="12"/>
      <c r="E48" s="9"/>
      <c r="F48" s="9"/>
      <c r="G48" s="25"/>
      <c r="L48" s="12"/>
      <c r="M48" s="1"/>
      <c r="N48" s="1" t="s">
        <v>4</v>
      </c>
      <c r="O48" s="4">
        <v>2000</v>
      </c>
      <c r="P48" s="12"/>
    </row>
    <row r="49" spans="1:16">
      <c r="A49" s="1"/>
      <c r="B49" s="1" t="s">
        <v>5</v>
      </c>
      <c r="C49" s="4">
        <v>310</v>
      </c>
      <c r="D49" s="12"/>
      <c r="E49" s="9"/>
      <c r="F49" s="9"/>
      <c r="G49" s="25"/>
      <c r="L49" s="12"/>
      <c r="M49" s="1"/>
      <c r="N49" s="1" t="s">
        <v>5</v>
      </c>
      <c r="O49" s="4">
        <v>310</v>
      </c>
      <c r="P49" s="12"/>
    </row>
    <row r="50" spans="1:16">
      <c r="A50" s="1"/>
      <c r="B50" s="1" t="s">
        <v>6</v>
      </c>
      <c r="C50" s="4">
        <v>450</v>
      </c>
      <c r="D50" s="12"/>
      <c r="E50" s="9"/>
      <c r="F50" s="9"/>
      <c r="G50" s="25"/>
      <c r="L50" s="12"/>
      <c r="M50" s="1"/>
      <c r="N50" s="1" t="s">
        <v>6</v>
      </c>
      <c r="O50" s="4">
        <v>450</v>
      </c>
      <c r="P50" s="12"/>
    </row>
    <row r="51" spans="1:16">
      <c r="A51" s="1"/>
      <c r="B51" s="1" t="s">
        <v>7</v>
      </c>
      <c r="C51" s="4">
        <f>(C53*6%)</f>
        <v>2099.6999999999998</v>
      </c>
      <c r="D51" s="12"/>
      <c r="E51" s="9"/>
      <c r="F51" s="9"/>
      <c r="G51" s="25"/>
      <c r="L51" s="12"/>
      <c r="M51" s="1"/>
      <c r="N51" s="1" t="s">
        <v>7</v>
      </c>
      <c r="O51" s="4">
        <f>(O53*6%)</f>
        <v>1799.7</v>
      </c>
      <c r="P51" s="12"/>
    </row>
    <row r="52" spans="1:16">
      <c r="A52" s="1"/>
      <c r="B52" s="2" t="s">
        <v>8</v>
      </c>
      <c r="C52" s="4">
        <f>SUM(C47:C51)</f>
        <v>21644.7</v>
      </c>
      <c r="D52" s="12"/>
      <c r="E52" s="9"/>
      <c r="F52" s="26"/>
      <c r="G52" s="25"/>
      <c r="L52" s="12"/>
      <c r="M52" s="1"/>
      <c r="N52" s="2" t="s">
        <v>8</v>
      </c>
      <c r="O52" s="4">
        <f>SUM(O47:O51)</f>
        <v>16209.7</v>
      </c>
      <c r="P52" s="12"/>
    </row>
    <row r="53" spans="1:16">
      <c r="A53" s="1"/>
      <c r="B53" s="23" t="s">
        <v>9</v>
      </c>
      <c r="C53" s="24">
        <v>34995</v>
      </c>
      <c r="D53" s="12"/>
      <c r="E53" s="9"/>
      <c r="F53" s="26"/>
      <c r="G53" s="25"/>
      <c r="L53" s="12"/>
      <c r="M53" s="1"/>
      <c r="N53" s="23" t="s">
        <v>9</v>
      </c>
      <c r="O53" s="24">
        <v>29995</v>
      </c>
      <c r="P53" s="12"/>
    </row>
    <row r="54" spans="1:16">
      <c r="A54" s="22" t="s">
        <v>10</v>
      </c>
      <c r="B54" s="3">
        <f>C54/C53</f>
        <v>0.38149164166309468</v>
      </c>
      <c r="C54" s="6">
        <f>(C53-C52)</f>
        <v>13350.3</v>
      </c>
      <c r="D54" s="12"/>
      <c r="E54" s="27"/>
      <c r="F54" s="28"/>
      <c r="G54" s="25"/>
      <c r="L54" s="12"/>
      <c r="M54" s="22" t="s">
        <v>10</v>
      </c>
      <c r="N54" s="3">
        <f>O54/O53</f>
        <v>0.45958659776629435</v>
      </c>
      <c r="O54" s="6">
        <f>(O53-O52)</f>
        <v>13785.3</v>
      </c>
      <c r="P54" s="12"/>
    </row>
    <row r="55" spans="1:16">
      <c r="A55" s="12"/>
      <c r="B55" s="12"/>
      <c r="C55" s="12"/>
      <c r="D55" s="12"/>
      <c r="E55" s="7"/>
      <c r="F55" s="7"/>
      <c r="G55" s="7"/>
      <c r="L55" s="12"/>
      <c r="M55" s="12"/>
      <c r="N55" s="12"/>
      <c r="O55" s="12"/>
      <c r="P55" s="12"/>
    </row>
    <row r="56" spans="1:16">
      <c r="A56" s="15" t="s">
        <v>139</v>
      </c>
      <c r="B56" s="1" t="s">
        <v>1</v>
      </c>
      <c r="C56" s="4">
        <v>15295</v>
      </c>
      <c r="D56" s="12"/>
      <c r="E56" s="7"/>
      <c r="F56" s="7"/>
      <c r="G56" s="7"/>
      <c r="L56" s="12"/>
      <c r="M56" s="15" t="s">
        <v>138</v>
      </c>
      <c r="N56" s="1" t="s">
        <v>1</v>
      </c>
      <c r="O56" s="4">
        <v>11650</v>
      </c>
      <c r="P56" s="12"/>
    </row>
    <row r="57" spans="1:16">
      <c r="A57" s="1"/>
      <c r="B57" s="1" t="s">
        <v>4</v>
      </c>
      <c r="C57" s="4">
        <v>1650</v>
      </c>
      <c r="D57" s="12"/>
      <c r="E57" s="7"/>
      <c r="F57" s="7"/>
      <c r="G57" s="7"/>
      <c r="L57" s="12"/>
      <c r="M57" s="1"/>
      <c r="N57" s="1" t="s">
        <v>4</v>
      </c>
      <c r="O57" s="4">
        <v>2000</v>
      </c>
      <c r="P57" s="12"/>
    </row>
    <row r="58" spans="1:16">
      <c r="A58" s="1"/>
      <c r="B58" s="1" t="s">
        <v>5</v>
      </c>
      <c r="C58" s="4">
        <v>310</v>
      </c>
      <c r="D58" s="12"/>
      <c r="L58" s="12"/>
      <c r="M58" s="1"/>
      <c r="N58" s="1" t="s">
        <v>5</v>
      </c>
      <c r="O58" s="4">
        <v>310</v>
      </c>
      <c r="P58" s="12"/>
    </row>
    <row r="59" spans="1:16">
      <c r="A59" s="1"/>
      <c r="B59" s="1" t="s">
        <v>6</v>
      </c>
      <c r="C59" s="4">
        <v>450</v>
      </c>
      <c r="D59" s="12"/>
      <c r="L59" s="12"/>
      <c r="M59" s="1"/>
      <c r="N59" s="1" t="s">
        <v>6</v>
      </c>
      <c r="O59" s="4">
        <v>450</v>
      </c>
      <c r="P59" s="12"/>
    </row>
    <row r="60" spans="1:16">
      <c r="A60" s="1"/>
      <c r="B60" s="1" t="s">
        <v>7</v>
      </c>
      <c r="C60" s="4">
        <f>(C62*6%)</f>
        <v>1979.6999999999998</v>
      </c>
      <c r="D60" s="12"/>
      <c r="L60" s="12"/>
      <c r="M60" s="1"/>
      <c r="N60" s="1" t="s">
        <v>7</v>
      </c>
      <c r="O60" s="4">
        <f>(O62*6%)</f>
        <v>1679.7</v>
      </c>
      <c r="P60" s="12"/>
    </row>
    <row r="61" spans="1:16">
      <c r="A61" s="1"/>
      <c r="B61" s="2" t="s">
        <v>8</v>
      </c>
      <c r="C61" s="4">
        <f>SUM(C56:C60)</f>
        <v>19684.7</v>
      </c>
      <c r="D61" s="12"/>
      <c r="L61" s="12"/>
      <c r="M61" s="1"/>
      <c r="N61" s="2" t="s">
        <v>8</v>
      </c>
      <c r="O61" s="4">
        <f>SUM(O56:O60)</f>
        <v>16089.7</v>
      </c>
      <c r="P61" s="12"/>
    </row>
    <row r="62" spans="1:16">
      <c r="A62" s="1"/>
      <c r="B62" s="23" t="s">
        <v>9</v>
      </c>
      <c r="C62" s="24">
        <v>32995</v>
      </c>
      <c r="D62" s="12"/>
      <c r="L62" s="12"/>
      <c r="M62" s="1"/>
      <c r="N62" s="23" t="s">
        <v>9</v>
      </c>
      <c r="O62" s="24">
        <v>27995</v>
      </c>
      <c r="P62" s="12"/>
    </row>
    <row r="63" spans="1:16">
      <c r="A63" s="22" t="s">
        <v>10</v>
      </c>
      <c r="B63" s="3">
        <f>C63/C62</f>
        <v>0.40340354599181694</v>
      </c>
      <c r="C63" s="6">
        <f>(C62-C61)</f>
        <v>13310.3</v>
      </c>
      <c r="D63" s="12"/>
      <c r="L63" s="12"/>
      <c r="M63" s="22" t="s">
        <v>10</v>
      </c>
      <c r="N63" s="3">
        <f>O63/O62</f>
        <v>0.42526522593320232</v>
      </c>
      <c r="O63" s="6">
        <f>(O62-O61)</f>
        <v>11905.3</v>
      </c>
      <c r="P63" s="12"/>
    </row>
    <row r="64" spans="1:16">
      <c r="A64" s="12"/>
      <c r="B64" s="12"/>
      <c r="C64" s="12"/>
      <c r="D64" s="12"/>
      <c r="L64" s="12"/>
      <c r="M64" s="12"/>
      <c r="N64" s="12"/>
      <c r="O64" s="12"/>
      <c r="P64" s="12"/>
    </row>
    <row r="65" spans="1:16">
      <c r="A65" s="15" t="s">
        <v>140</v>
      </c>
      <c r="B65" s="1" t="s">
        <v>1</v>
      </c>
      <c r="C65" s="4">
        <v>14475</v>
      </c>
      <c r="D65" s="12"/>
      <c r="L65" s="12"/>
      <c r="M65" s="15" t="s">
        <v>141</v>
      </c>
      <c r="N65" s="1" t="s">
        <v>1</v>
      </c>
      <c r="O65" s="4">
        <v>11070</v>
      </c>
      <c r="P65" s="12"/>
    </row>
    <row r="66" spans="1:16">
      <c r="A66" s="1"/>
      <c r="B66" s="1" t="s">
        <v>4</v>
      </c>
      <c r="C66" s="4">
        <v>1650</v>
      </c>
      <c r="D66" s="12"/>
      <c r="L66" s="12"/>
      <c r="M66" s="1"/>
      <c r="N66" s="1" t="s">
        <v>4</v>
      </c>
      <c r="O66" s="4">
        <v>1500</v>
      </c>
      <c r="P66" s="12"/>
    </row>
    <row r="67" spans="1:16">
      <c r="A67" s="1"/>
      <c r="B67" s="1" t="s">
        <v>5</v>
      </c>
      <c r="C67" s="4">
        <v>310</v>
      </c>
      <c r="D67" s="12"/>
      <c r="L67" s="12"/>
      <c r="M67" s="1"/>
      <c r="N67" s="1" t="s">
        <v>5</v>
      </c>
      <c r="O67" s="4">
        <v>310</v>
      </c>
      <c r="P67" s="12"/>
    </row>
    <row r="68" spans="1:16">
      <c r="A68" s="1"/>
      <c r="B68" s="1" t="s">
        <v>6</v>
      </c>
      <c r="C68" s="4">
        <v>450</v>
      </c>
      <c r="D68" s="12"/>
      <c r="L68" s="12"/>
      <c r="M68" s="1"/>
      <c r="N68" s="1" t="s">
        <v>6</v>
      </c>
      <c r="O68" s="4">
        <v>0</v>
      </c>
      <c r="P68" s="12"/>
    </row>
    <row r="69" spans="1:16">
      <c r="A69" s="1"/>
      <c r="B69" s="1" t="s">
        <v>7</v>
      </c>
      <c r="C69" s="4">
        <f>(C71*6%)</f>
        <v>1799.7</v>
      </c>
      <c r="D69" s="12"/>
      <c r="L69" s="12"/>
      <c r="M69" s="1"/>
      <c r="N69" s="1" t="s">
        <v>7</v>
      </c>
      <c r="O69" s="4">
        <f>(O71*6%)</f>
        <v>1559.7</v>
      </c>
      <c r="P69" s="12"/>
    </row>
    <row r="70" spans="1:16">
      <c r="A70" s="1"/>
      <c r="B70" s="2" t="s">
        <v>8</v>
      </c>
      <c r="C70" s="4">
        <f>SUM(C65:C69)</f>
        <v>18684.7</v>
      </c>
      <c r="D70" s="12"/>
      <c r="L70" s="12"/>
      <c r="M70" s="1"/>
      <c r="N70" s="2" t="s">
        <v>8</v>
      </c>
      <c r="O70" s="4">
        <f>SUM(O65:O69)</f>
        <v>14439.7</v>
      </c>
      <c r="P70" s="12"/>
    </row>
    <row r="71" spans="1:16">
      <c r="A71" s="1"/>
      <c r="B71" s="23" t="s">
        <v>9</v>
      </c>
      <c r="C71" s="24">
        <v>29995</v>
      </c>
      <c r="D71" s="12"/>
      <c r="L71" s="12"/>
      <c r="M71" s="1"/>
      <c r="N71" s="23" t="s">
        <v>9</v>
      </c>
      <c r="O71" s="24">
        <v>25995</v>
      </c>
      <c r="P71" s="12"/>
    </row>
    <row r="72" spans="1:16">
      <c r="A72" s="22" t="s">
        <v>10</v>
      </c>
      <c r="B72" s="3">
        <f>C72/C71</f>
        <v>0.37707284547424569</v>
      </c>
      <c r="C72" s="6">
        <f>(C71-C70)</f>
        <v>11310.3</v>
      </c>
      <c r="D72" s="12"/>
      <c r="L72" s="12"/>
      <c r="M72" s="22" t="s">
        <v>10</v>
      </c>
      <c r="N72" s="3">
        <f>O72/O71</f>
        <v>0.44452010001923442</v>
      </c>
      <c r="O72" s="6">
        <f>(O71-O70)</f>
        <v>11555.3</v>
      </c>
      <c r="P72" s="12"/>
    </row>
    <row r="73" spans="1:16">
      <c r="A73" s="12"/>
      <c r="B73" s="12"/>
      <c r="C73" s="12"/>
      <c r="D73" s="12"/>
      <c r="L73" s="12"/>
      <c r="M73" s="12"/>
      <c r="N73" s="12"/>
      <c r="O73" s="12"/>
      <c r="P73" s="12"/>
    </row>
  </sheetData>
  <pageMargins left="0.7" right="0.7" top="0.75" bottom="0.75" header="0.3" footer="0.3"/>
  <pageSetup scale="0" firstPageNumber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01E0-E104-4D63-898D-B7DC672F2B31}">
  <dimension ref="A1:D10"/>
  <sheetViews>
    <sheetView workbookViewId="0">
      <selection activeCell="D10" sqref="A10:D10"/>
    </sheetView>
  </sheetViews>
  <sheetFormatPr defaultRowHeight="15"/>
  <cols>
    <col min="1" max="1" width="20.5703125" customWidth="1"/>
    <col min="2" max="2" width="18.7109375" customWidth="1"/>
    <col min="3" max="3" width="11.85546875" bestFit="1" customWidth="1"/>
    <col min="4" max="4" width="4.140625" customWidth="1"/>
  </cols>
  <sheetData>
    <row r="1" spans="1:4">
      <c r="A1" s="12"/>
      <c r="B1" s="12"/>
      <c r="C1" s="12"/>
      <c r="D1" s="12"/>
    </row>
    <row r="2" spans="1:4">
      <c r="A2" s="15" t="s">
        <v>142</v>
      </c>
      <c r="B2" s="1" t="s">
        <v>143</v>
      </c>
      <c r="C2" s="4">
        <v>6500</v>
      </c>
      <c r="D2" s="12"/>
    </row>
    <row r="3" spans="1:4">
      <c r="A3" s="1"/>
      <c r="B3" s="1" t="s">
        <v>4</v>
      </c>
      <c r="C3" s="4">
        <v>700</v>
      </c>
      <c r="D3" s="12"/>
    </row>
    <row r="4" spans="1:4">
      <c r="A4" s="1"/>
      <c r="B4" s="1" t="s">
        <v>5</v>
      </c>
      <c r="C4" s="4"/>
      <c r="D4" s="12"/>
    </row>
    <row r="5" spans="1:4">
      <c r="A5" s="1"/>
      <c r="B5" s="1" t="s">
        <v>6</v>
      </c>
      <c r="C5" s="4"/>
      <c r="D5" s="12"/>
    </row>
    <row r="6" spans="1:4">
      <c r="A6" s="1"/>
      <c r="B6" s="1" t="s">
        <v>7</v>
      </c>
      <c r="C6" s="4">
        <f>C8*0.06</f>
        <v>719.93999999999994</v>
      </c>
      <c r="D6" s="12"/>
    </row>
    <row r="7" spans="1:4">
      <c r="A7" s="1"/>
      <c r="B7" s="2" t="s">
        <v>8</v>
      </c>
      <c r="C7" s="4">
        <f>SUM(C2:C6)</f>
        <v>7919.94</v>
      </c>
      <c r="D7" s="12"/>
    </row>
    <row r="8" spans="1:4">
      <c r="A8" s="1"/>
      <c r="B8" s="23" t="s">
        <v>9</v>
      </c>
      <c r="C8" s="24">
        <v>11999</v>
      </c>
      <c r="D8" s="12"/>
    </row>
    <row r="9" spans="1:4">
      <c r="A9" s="22" t="s">
        <v>10</v>
      </c>
      <c r="B9" s="3">
        <f>C9/C8</f>
        <v>0.33994999583298613</v>
      </c>
      <c r="C9" s="6">
        <f>(C8-C7)</f>
        <v>4079.0600000000004</v>
      </c>
      <c r="D9" s="12"/>
    </row>
    <row r="10" spans="1:4">
      <c r="A10" s="12"/>
      <c r="B10" s="12"/>
      <c r="C10" s="12"/>
      <c r="D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2026-03-04T22:15:59Z</dcterms:created>
  <dcterms:modified xsi:type="dcterms:W3CDTF">2026-08-31T23:07:48Z</dcterms:modified>
  <cp:category/>
  <cp:contentStatus/>
</cp:coreProperties>
</file>